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abdd6fc3f04268" /></Relationships>
</file>

<file path=xl/workbook.xml><?xml version="1.0" encoding="utf-8"?>
<x:workbook xmlns:x="http://schemas.openxmlformats.org/spreadsheetml/2006/main">
  <x:sheets>
    <x:sheet xmlns:r="http://schemas.openxmlformats.org/officeDocument/2006/relationships" name="Dashboard" sheetId="1" r:id="R0a27ad85e55d4a2d"/>
    <x:sheet xmlns:r="http://schemas.openxmlformats.org/officeDocument/2006/relationships" name="Priority Roadmap" sheetId="2" r:id="Rf085051d25b841f7"/>
    <x:sheet xmlns:r="http://schemas.openxmlformats.org/officeDocument/2006/relationships" name="Site Architecture" sheetId="3" r:id="Rd8487f3c3a9f42d7"/>
    <x:sheet xmlns:r="http://schemas.openxmlformats.org/officeDocument/2006/relationships" name="Pillar Pages" sheetId="4" r:id="R6835ebe333ca42dc"/>
    <x:sheet xmlns:r="http://schemas.openxmlformats.org/officeDocument/2006/relationships" name="Page Inventory" sheetId="5" r:id="Re0b8920068c34265"/>
    <x:sheet xmlns:r="http://schemas.openxmlformats.org/officeDocument/2006/relationships" name="Keyword Map" sheetId="6" r:id="R8c3581ffb0c64c00"/>
    <x:sheet xmlns:r="http://schemas.openxmlformats.org/officeDocument/2006/relationships" name="Heading Maps" sheetId="7" r:id="R052584d74f0b4193"/>
    <x:sheet xmlns:r="http://schemas.openxmlformats.org/officeDocument/2006/relationships" name="Page Templates" sheetId="8" r:id="Rd9cfdc0a8eaa4332"/>
    <x:sheet xmlns:r="http://schemas.openxmlformats.org/officeDocument/2006/relationships" name="Internal Linking" sheetId="9" r:id="R6133eda0ee834a3d"/>
    <x:sheet xmlns:r="http://schemas.openxmlformats.org/officeDocument/2006/relationships" name="SEO LLM Checklist" sheetId="10" r:id="R1e919c9a3297488b"/>
    <x:sheet xmlns:r="http://schemas.openxmlformats.org/officeDocument/2006/relationships" name="UI UX Components" sheetId="11" r:id="Rcd619c37d1a448a4"/>
    <x:sheet xmlns:r="http://schemas.openxmlformats.org/officeDocument/2006/relationships" name="NextJS Vercel Build" sheetId="12" r:id="Rdc12bf5330db44b8"/>
    <x:sheet xmlns:r="http://schemas.openxmlformats.org/officeDocument/2006/relationships" name="Cursor Prompts" sheetId="13" r:id="R24f06409eeb14e6e"/>
    <x:sheet xmlns:r="http://schemas.openxmlformats.org/officeDocument/2006/relationships" name="Schema Map" sheetId="14" r:id="Rf9cd441f3a3d4485"/>
    <x:sheet xmlns:r="http://schemas.openxmlformats.org/officeDocument/2006/relationships" name="Amazon Compliance" sheetId="15" r:id="R2b12cdd10cc64279"/>
    <x:sheet xmlns:r="http://schemas.openxmlformats.org/officeDocument/2006/relationships" name="Editorial QA" sheetId="16" r:id="R12144212c1d740b6"/>
    <x:sheet xmlns:r="http://schemas.openxmlformats.org/officeDocument/2006/relationships" name="Publish Tracker" sheetId="17" r:id="R3f8329b1da624e52"/>
    <x:sheet xmlns:r="http://schemas.openxmlformats.org/officeDocument/2006/relationships" name="KPI Tracker" sheetId="18" r:id="R8d4184c2c479430b"/>
    <x:sheet xmlns:r="http://schemas.openxmlformats.org/officeDocument/2006/relationships" name="Sources" sheetId="19" r:id="R42f5536f922547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0.00"/>
  </x:numFmts>
  <x:fonts count="5">
    <x:font>
      <x:sz val="11"/>
      <x:name val="Carlito"/>
    </x:font>
    <x:font>
      <x:b/>
      <x:sz val="18"/>
      <x:color rgb="FFFFFFFF"/>
      <x:name val="Carlito"/>
    </x:font>
    <x:font>
      <x:b/>
      <x:sz val="11"/>
      <x:color rgb="FF0B2928"/>
      <x:name val="Carlito"/>
    </x:font>
    <x:font>
      <x:b/>
      <x:sz val="14"/>
      <x:color rgb="FF0B2928"/>
      <x:name val="Carlito"/>
    </x:font>
    <x:font>
      <x:b/>
      <x:sz val="11"/>
      <x:color rgb="FFFFFFFF"/>
      <x:name val="Carlito"/>
    </x:font>
  </x:fonts>
  <x:fills count="6">
    <x:fill>
      <x:patternFill patternType="none"/>
    </x:fill>
    <x:fill>
      <x:patternFill patternType="gray125"/>
    </x:fill>
    <x:fill>
      <x:patternFill patternType="solid">
        <x:fgColor rgb="FF0B2928"/>
      </x:patternFill>
    </x:fill>
    <x:fill>
      <x:patternFill patternType="solid">
        <x:fgColor rgb="FFF59E0B"/>
      </x:patternFill>
    </x:fill>
    <x:fill>
      <x:patternFill patternType="solid">
        <x:fgColor rgb="FFFEF3C7"/>
      </x:patternFill>
    </x:fill>
    <x:fill>
      <x:patternFill patternType="solid">
        <x:fgColor rgb="FF123B3A"/>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left" wrapText="1"/>
    </x:xf>
    <x:xf numFmtId="0" fontId="2" fillId="4" borderId="0" xfId="0" applyNumberFormat="1" applyFont="1" applyFill="1" applyBorder="1" applyAlignment="1">
      <x:alignment horizontal="left"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left" wrapText="1"/>
    </x:xf>
    <x:xf numFmtId="0" fontId="2" fillId="4" borderId="1" xfId="0" applyNumberFormat="1" applyFont="1" applyFill="1" applyBorder="1" applyAlignment="1">
      <x:alignment horizontal="left" vertical="center" wrapText="1"/>
    </x:xf>
    <x:xf numFmtId="0" fontId="2" fillId="4" borderId="2" xfId="0" applyNumberFormat="1" applyFont="1" applyFill="1" applyBorder="1" applyAlignment="1">
      <x:alignment horizontal="left" vertical="center" wrapText="1"/>
    </x:xf>
    <x:xf numFmtId="0" fontId="0" fillId="0" borderId="3" xfId="0" applyNumberFormat="1" applyFont="1" applyFill="1" applyBorder="1"/>
    <x:xf numFmtId="0" fontId="0" fillId="0" borderId="4" xfId="0" applyNumberFormat="1" applyFont="1" applyFill="1" applyBorder="1"/>
    <x:xf numFmtId="0" fontId="2" fillId="4" borderId="5" xfId="0" applyNumberFormat="1" applyFont="1" applyFill="1" applyBorder="1" applyAlignment="1">
      <x:alignment horizontal="left" vertical="center" wrapText="1"/>
    </x:xf>
    <x:xf numFmtId="0" fontId="0" fillId="0" borderId="0" xfId="0" applyNumberFormat="1" applyFont="1" applyFill="1" applyBorder="1"/>
    <x:xf numFmtId="0" fontId="0" fillId="0" borderId="6" xfId="0" applyNumberFormat="1" applyFont="1" applyFill="1" applyBorder="1"/>
    <x:xf numFmtId="0" fontId="2" fillId="4" borderId="7" xfId="0" applyNumberFormat="1" applyFont="1" applyFill="1" applyBorder="1" applyAlignment="1">
      <x:alignment horizontal="left" vertical="center" wrapText="1"/>
    </x:xf>
    <x:xf numFmtId="0" fontId="0" fillId="0" borderId="8" xfId="0" applyNumberFormat="1" applyFont="1" applyFill="1" applyBorder="1"/>
    <x:xf numFmtId="0" fontId="0" fillId="0" borderId="9" xfId="0" applyNumberFormat="1" applyFont="1" applyFill="1" applyBorder="1"/>
    <x:xf numFmtId="0" fontId="2" fillId="4" borderId="10" xfId="0" applyNumberFormat="1" applyFont="1" applyFill="1" applyBorder="1" applyAlignment="1">
      <x:alignment horizontal="left" vertical="center" wrapText="1"/>
    </x:xf>
    <x:xf numFmtId="0" fontId="0" fillId="0" borderId="11" xfId="0" applyNumberFormat="1" applyFont="1" applyFill="1" applyBorder="1"/>
    <x:xf numFmtId="0" fontId="0" fillId="0" borderId="12" xfId="0" applyNumberFormat="1" applyFont="1" applyFill="1" applyBorder="1"/>
    <x:xf numFmtId="0" fontId="2" fillId="4" borderId="13" xfId="0" applyNumberFormat="1" applyFont="1" applyFill="1" applyBorder="1" applyAlignment="1">
      <x:alignment horizontal="left" vertical="center" wrapText="1"/>
    </x:xf>
    <x:xf numFmtId="0" fontId="0" fillId="0" borderId="14" xfId="0" applyNumberFormat="1" applyFont="1" applyFill="1" applyBorder="1"/>
    <x:xf numFmtId="0" fontId="2" fillId="4" borderId="15" xfId="0" applyNumberFormat="1" applyFont="1" applyFill="1" applyBorder="1" applyAlignment="1">
      <x:alignment horizontal="left" vertical="center" wrapText="1"/>
    </x:xf>
    <x:xf numFmtId="0" fontId="0" fillId="0" borderId="16" xfId="0" applyNumberFormat="1" applyFont="1" applyFill="1" applyBorder="1"/>
    <x:xf numFmtId="0" fontId="0" fillId="0" borderId="17"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6" xfId="0" applyNumberFormat="1" applyFont="1" applyFill="1" applyBorder="1"/>
    <x:xf numFmtId="200" fontId="0" fillId="0" borderId="14" xfId="0" applyNumberFormat="1" applyFont="1" applyFill="1" applyBorder="1"/>
    <x:xf numFmtId="0" fontId="3" fillId="0" borderId="4" xfId="0" applyNumberFormat="1" applyFont="1" applyFill="1" applyBorder="1"/>
    <x:xf numFmtId="0" fontId="3" fillId="0" borderId="6" xfId="0" applyNumberFormat="1" applyFont="1" applyFill="1" applyBorder="1"/>
    <x:xf numFmtId="200" fontId="3" fillId="0" borderId="6" xfId="0" applyNumberFormat="1" applyFont="1" applyFill="1" applyBorder="1"/>
    <x:xf numFmtId="0" fontId="3" fillId="0" borderId="9" xfId="0" applyNumberFormat="1" applyFont="1" applyFill="1" applyBorder="1"/>
    <x:xf numFmtId="0" fontId="3" fillId="0" borderId="12" xfId="0" applyNumberFormat="1" applyFont="1" applyFill="1" applyBorder="1"/>
    <x:xf numFmtId="0" fontId="3" fillId="0" borderId="14" xfId="0" applyNumberFormat="1" applyFont="1" applyFill="1" applyBorder="1"/>
    <x:xf numFmtId="200" fontId="3" fillId="0" borderId="14" xfId="0" applyNumberFormat="1" applyFont="1" applyFill="1" applyBorder="1"/>
    <x:xf numFmtId="0" fontId="3" fillId="0" borderId="17" xfId="0" applyNumberFormat="1" applyFont="1" applyFill="1" applyBorder="1"/>
    <x:xf numFmtId="0" fontId="3" fillId="0" borderId="4" xfId="0" applyNumberFormat="1" applyFont="1" applyFill="1" applyBorder="1" applyAlignment="1">
      <x:alignment horizontal="center"/>
    </x:xf>
    <x:xf numFmtId="0" fontId="3" fillId="0" borderId="6" xfId="0" applyNumberFormat="1" applyFont="1" applyFill="1" applyBorder="1" applyAlignment="1">
      <x:alignment horizontal="center"/>
    </x:xf>
    <x:xf numFmtId="200" fontId="3" fillId="0" borderId="6" xfId="0" applyNumberFormat="1" applyFont="1" applyFill="1" applyBorder="1" applyAlignment="1">
      <x:alignment horizontal="center"/>
    </x:xf>
    <x:xf numFmtId="0" fontId="3" fillId="0" borderId="9" xfId="0" applyNumberFormat="1" applyFont="1" applyFill="1" applyBorder="1" applyAlignment="1">
      <x:alignment horizontal="center"/>
    </x:xf>
    <x:xf numFmtId="0" fontId="3" fillId="0" borderId="12" xfId="0" applyNumberFormat="1" applyFont="1" applyFill="1" applyBorder="1" applyAlignment="1">
      <x:alignment horizontal="center"/>
    </x:xf>
    <x:xf numFmtId="0" fontId="3" fillId="0" borderId="14" xfId="0" applyNumberFormat="1" applyFont="1" applyFill="1" applyBorder="1" applyAlignment="1">
      <x:alignment horizontal="center"/>
    </x:xf>
    <x:xf numFmtId="200" fontId="3" fillId="0" borderId="14" xfId="0" applyNumberFormat="1" applyFont="1" applyFill="1" applyBorder="1" applyAlignment="1">
      <x:alignment horizontal="center"/>
    </x:xf>
    <x:xf numFmtId="0" fontId="3" fillId="0" borderId="17"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7" xfId="0" applyNumberFormat="1" applyFont="1" applyFill="1" applyBorder="1"/>
    <x:xf numFmtId="0" fontId="4" fillId="5" borderId="10" xfId="0" applyNumberFormat="1" applyFont="1" applyFill="1" applyBorder="1" applyAlignment="1">
      <x:alignment horizontal="center" vertical="center" wrapText="1"/>
    </x:xf>
    <x:xf numFmtId="0" fontId="4" fillId="5"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5"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2" fontId="0" fillId="0" borderId="16" xfId="0" applyNumberFormat="1" applyFont="1" applyFill="1" applyBorder="1" applyAlignment="1">
      <x:alignment vertical="top" wrapText="1"/>
    </x:xf>
    <x:xf numFmtId="203" fontId="0" fillId="0" borderId="3"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8" xfId="0" applyNumberFormat="1" applyFont="1" applyFill="1" applyBorder="1" applyAlignment="1">
      <x:alignment vertical="top" wrapText="1"/>
    </x:xf>
    <x:xf numFmtId="203" fontId="0" fillId="0" borderId="1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3" fontId="0" fillId="0" borderId="16"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3" fillId="0" borderId="4" xfId="0" applyNumberFormat="1" applyFont="1" applyFill="1" applyBorder="1" applyAlignment="1">
      <x:alignment horizontal="center" wrapText="1"/>
    </x:xf>
    <x:xf numFmtId="0" fontId="0" fillId="0" borderId="5" xfId="0" applyNumberFormat="1" applyFont="1" applyFill="1" applyBorder="1" applyAlignment="1">
      <x:alignment wrapText="1"/>
    </x:xf>
    <x:xf numFmtId="0" fontId="3" fillId="0" borderId="6" xfId="0" applyNumberFormat="1" applyFont="1" applyFill="1" applyBorder="1" applyAlignment="1">
      <x:alignment horizontal="center" wrapText="1"/>
    </x:xf>
    <x:xf numFmtId="200" fontId="3" fillId="0" borderId="6" xfId="0" applyNumberFormat="1" applyFont="1" applyFill="1" applyBorder="1" applyAlignment="1">
      <x:alignment horizontal="center" wrapText="1"/>
    </x:xf>
    <x:xf numFmtId="0" fontId="3" fillId="0" borderId="9" xfId="0" applyNumberFormat="1" applyFont="1" applyFill="1" applyBorder="1" applyAlignment="1">
      <x:alignment horizontal="center" wrapText="1"/>
    </x:xf>
    <x:xf numFmtId="0" fontId="0" fillId="0" borderId="7" xfId="0" applyNumberFormat="1" applyFont="1" applyFill="1" applyBorder="1" applyAlignment="1">
      <x:alignment wrapText="1"/>
    </x:xf>
  </x:cellXfs>
  <x:cellStyles count="1">
    <x:cellStyle name="Normal" xfId="0"/>
  </x:cellStyles>
  <x:dxfs count="36">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5B21B6"/>
      </x:font>
      <x:fill>
        <x:patternFill patternType="solid">
          <x:bgColor rgb="FFEDE9FE"/>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49a0a3e324109" /><Relationship Type="http://schemas.openxmlformats.org/officeDocument/2006/relationships/theme" Target="/xl/theme/theme1.xml" Id="R5b1540fe6d904676" /><Relationship Type="http://schemas.openxmlformats.org/officeDocument/2006/relationships/sharedStrings" Target="/xl/sharedStrings.xml" Id="R22f7560cb34a4892" /><Relationship Type="http://schemas.openxmlformats.org/officeDocument/2006/relationships/worksheet" Target="/xl/worksheets/sheet1.xml" Id="R0a27ad85e55d4a2d" /><Relationship Type="http://schemas.openxmlformats.org/officeDocument/2006/relationships/worksheet" Target="/xl/worksheets/sheet2.xml" Id="Rf085051d25b841f7" /><Relationship Type="http://schemas.openxmlformats.org/officeDocument/2006/relationships/worksheet" Target="/xl/worksheets/sheet3.xml" Id="Rd8487f3c3a9f42d7" /><Relationship Type="http://schemas.openxmlformats.org/officeDocument/2006/relationships/worksheet" Target="/xl/worksheets/sheet4.xml" Id="R6835ebe333ca42dc" /><Relationship Type="http://schemas.openxmlformats.org/officeDocument/2006/relationships/worksheet" Target="/xl/worksheets/sheet5.xml" Id="Re0b8920068c34265" /><Relationship Type="http://schemas.openxmlformats.org/officeDocument/2006/relationships/worksheet" Target="/xl/worksheets/sheet6.xml" Id="R8c3581ffb0c64c00" /><Relationship Type="http://schemas.openxmlformats.org/officeDocument/2006/relationships/worksheet" Target="/xl/worksheets/sheet7.xml" Id="R052584d74f0b4193" /><Relationship Type="http://schemas.openxmlformats.org/officeDocument/2006/relationships/worksheet" Target="/xl/worksheets/sheet8.xml" Id="Rd9cfdc0a8eaa4332" /><Relationship Type="http://schemas.openxmlformats.org/officeDocument/2006/relationships/worksheet" Target="/xl/worksheets/sheet9.xml" Id="R6133eda0ee834a3d" /><Relationship Type="http://schemas.openxmlformats.org/officeDocument/2006/relationships/worksheet" Target="/xl/worksheets/sheet10.xml" Id="R1e919c9a3297488b" /><Relationship Type="http://schemas.openxmlformats.org/officeDocument/2006/relationships/worksheet" Target="/xl/worksheets/sheet11.xml" Id="Rcd619c37d1a448a4" /><Relationship Type="http://schemas.openxmlformats.org/officeDocument/2006/relationships/worksheet" Target="/xl/worksheets/sheet12.xml" Id="Rdc12bf5330db44b8" /><Relationship Type="http://schemas.openxmlformats.org/officeDocument/2006/relationships/worksheet" Target="/xl/worksheets/sheet13.xml" Id="R24f06409eeb14e6e" /><Relationship Type="http://schemas.openxmlformats.org/officeDocument/2006/relationships/worksheet" Target="/xl/worksheets/sheet14.xml" Id="Rf9cd441f3a3d4485" /><Relationship Type="http://schemas.openxmlformats.org/officeDocument/2006/relationships/worksheet" Target="/xl/worksheets/sheet15.xml" Id="R2b12cdd10cc64279" /><Relationship Type="http://schemas.openxmlformats.org/officeDocument/2006/relationships/worksheet" Target="/xl/worksheets/sheet16.xml" Id="R12144212c1d740b6" /><Relationship Type="http://schemas.openxmlformats.org/officeDocument/2006/relationships/worksheet" Target="/xl/worksheets/sheet17.xml" Id="R3f8329b1da624e52" /><Relationship Type="http://schemas.openxmlformats.org/officeDocument/2006/relationships/worksheet" Target="/xl/worksheets/sheet18.xml" Id="R8d4184c2c479430b" /><Relationship Type="http://schemas.openxmlformats.org/officeDocument/2006/relationships/worksheet" Target="/xl/worksheets/sheet19.xml" Id="R42f5536f922547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efaef8ffa445f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Planned Content Mix</a:t>
            </a:r>
          </a:p>
        </c:rich>
      </c:tx>
      <c:overlay val="0"/>
    </c:title>
    <c:autoTitleDeleted val="0"/>
    <c:plotArea>
      <c:layout/>
      <c:barChart>
        <c:barDir val="col"/>
        <c:grouping val="clustered"/>
        <c:varyColors val="0"/>
        <c:ser>
          <c:idx val="0"/>
          <c:order val="0"/>
          <c:tx>
            <c:v>Count</c:v>
          </c:tx>
          <c:cat>
            <c:strRef>
              <c:f>'Dashboard'!$I$4:$I$12</c:f>
              <c:strCache>
                <c:ptCount val="0"/>
              </c:strCache>
            </c:strRef>
          </c:cat>
          <c:val>
            <c:numRef>
              <c:f>'Dashboard'!$J$4:$J$12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11</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efaef8ffa445f9"/>
        </a:graphicData>
      </a:graphic>
    </xdr:graphicFrame>
    <xdr:clientData/>
  </xdr:twoCellAnchor>
</xdr:wsDr>
</file>

<file path=xl/tables/table1.xml><?xml version="1.0" encoding="utf-8"?>
<x:table xmlns:x="http://schemas.openxmlformats.org/spreadsheetml/2006/main" id="1" name="PriorityRoadmapTable" displayName="PriorityRoadmapTable" ref="A1:I25" headerRowCount="1">
  <x:tableColumns count="9">
    <x:tableColumn id="1" name="Sequence"/>
    <x:tableColumn id="2" name="Priority"/>
    <x:tableColumn id="3" name="Workstream"/>
    <x:tableColumn id="4" name="Action"/>
    <x:tableColumn id="5" name="Definition of Done"/>
    <x:tableColumn id="6" name="Dependency"/>
    <x:tableColumn id="7" name="Owner"/>
    <x:tableColumn id="8" name="Status"/>
    <x:tableColumn id="9" name="Notes"/>
  </x:tableColumns>
  <x:tableStyleInfo name="TableStyleMedium2" showRowStripes="1"/>
</x:table>
</file>

<file path=xl/tables/table2.xml><?xml version="1.0" encoding="utf-8"?>
<x:table xmlns:x="http://schemas.openxmlformats.org/spreadsheetml/2006/main" id="2" name="SiteArchitectureTable" displayName="SiteArchitectureTable" ref="A1:G21" headerRowCount="1">
  <x:tableColumns count="7">
    <x:tableColumn id="1" name="Level"/>
    <x:tableColumn id="2" name="Section / Route"/>
    <x:tableColumn id="3" name="Purpose"/>
    <x:tableColumn id="4" name="Indexing"/>
    <x:tableColumn id="5" name="Primary Links"/>
    <x:tableColumn id="6" name="Required Components"/>
    <x:tableColumn id="7" name="Notes"/>
  </x:tableColumns>
  <x:tableStyleInfo name="TableStyleMedium2" showRowStripes="1"/>
</x:table>
</file>

<file path=xl/tables/table3.xml><?xml version="1.0" encoding="utf-8"?>
<x:table xmlns:x="http://schemas.openxmlformats.org/spreadsheetml/2006/main" id="3" name="PillarPagesTable" displayName="PillarPagesTable" ref="A1:K19" headerRowCount="1">
  <x:tableColumns count="11">
    <x:tableColumn id="1" name="Pillar ID"/>
    <x:tableColumn id="2" name="Priority"/>
    <x:tableColumn id="3" name="Cluster"/>
    <x:tableColumn id="4" name="Page Title"/>
    <x:tableColumn id="5" name="Primary Keyword"/>
    <x:tableColumn id="6" name="URL"/>
    <x:tableColumn id="7" name="Role"/>
    <x:tableColumn id="8" name="Supporting Page Count"/>
    <x:tableColumn id="9" name="Must Link To"/>
    <x:tableColumn id="10" name="Internal Linking Rule"/>
    <x:tableColumn id="11" name="Status"/>
  </x:tableColumns>
  <x:tableStyleInfo name="TableStyleMedium2" showRowStripes="1"/>
</x:table>
</file>

<file path=xl/tables/table4.xml><?xml version="1.0" encoding="utf-8"?>
<x:table xmlns:x="http://schemas.openxmlformats.org/spreadsheetml/2006/main" id="4" name="PageInventoryTable" displayName="PageInventoryTable" ref="A1:P229" headerRowCount="1">
  <x:tableColumns count="16">
    <x:tableColumn id="1" name="Execution Order"/>
    <x:tableColumn id="2" name="Page ID"/>
    <x:tableColumn id="3" name="Priority"/>
    <x:tableColumn id="4" name="Cluster"/>
    <x:tableColumn id="5" name="Page Type"/>
    <x:tableColumn id="6" name="Parent Pillar"/>
    <x:tableColumn id="7" name="Primary Keyword"/>
    <x:tableColumn id="8" name="Search Intent"/>
    <x:tableColumn id="9" name="Funnel"/>
    <x:tableColumn id="10" name="H1 / Page Title"/>
    <x:tableColumn id="11" name="Suggested URL"/>
    <x:tableColumn id="12" name="Monetization"/>
    <x:tableColumn id="13" name="Schema"/>
    <x:tableColumn id="14" name="Target Length"/>
    <x:tableColumn id="15" name="Unique Evidence Requirement"/>
    <x:tableColumn id="16" name="Status"/>
  </x:tableColumns>
  <x:tableStyleInfo name="TableStyleMedium2" showRowStripes="1"/>
</x:table>
</file>

<file path=xl/tables/table5.xml><?xml version="1.0" encoding="utf-8"?>
<x:table xmlns:x="http://schemas.openxmlformats.org/spreadsheetml/2006/main" id="5" name="KeywordMapTable" displayName="KeywordMapTable" ref="A1:O229" headerRowCount="1">
  <x:tableColumns count="15">
    <x:tableColumn id="1" name="Page ID"/>
    <x:tableColumn id="2" name="Priority"/>
    <x:tableColumn id="3" name="Cluster"/>
    <x:tableColumn id="4" name="Page Type"/>
    <x:tableColumn id="5" name="Primary Keyword"/>
    <x:tableColumn id="6" name="Secondary / Semantic Keywords"/>
    <x:tableColumn id="7" name="Intent"/>
    <x:tableColumn id="8" name="Funnel"/>
    <x:tableColumn id="9" name="Recommended URL"/>
    <x:tableColumn id="10" name="Cannibalization Parent"/>
    <x:tableColumn id="11" name="Live Volume"/>
    <x:tableColumn id="12" name="Live KD"/>
    <x:tableColumn id="13" name="SERP Opportunity Notes"/>
    <x:tableColumn id="14" name="Product / ASIN Validation"/>
    <x:tableColumn id="15" name="Status"/>
  </x:tableColumns>
  <x:tableStyleInfo name="TableStyleMedium2" showRowStripes="1"/>
</x:table>
</file>

<file path=xl/tables/table6.xml><?xml version="1.0" encoding="utf-8"?>
<x:table xmlns:x="http://schemas.openxmlformats.org/spreadsheetml/2006/main" id="6" name="HeadingMapsTable" displayName="HeadingMapsTable" ref="A1:J229" headerRowCount="1">
  <x:tableColumns count="10">
    <x:tableColumn id="1" name="Page ID"/>
    <x:tableColumn id="2" name="Priority"/>
    <x:tableColumn id="3" name="Page Type"/>
    <x:tableColumn id="4" name="Primary Keyword"/>
    <x:tableColumn id="5" name="H1"/>
    <x:tableColumn id="6" name="H2 / H3 Content Structure"/>
    <x:tableColumn id="7" name="Answer-First / LLM Blocks"/>
    <x:tableColumn id="8" name="Required Tables"/>
    <x:tableColumn id="9" name="Required CTA Pattern"/>
    <x:tableColumn id="10" name="FAQ Guidance"/>
  </x:tableColumns>
  <x:tableStyleInfo name="TableStyleMedium2" showRowStripes="1"/>
</x:table>
</file>

<file path=xl/tables/table7.xml><?xml version="1.0" encoding="utf-8"?>
<x:table xmlns:x="http://schemas.openxmlformats.org/spreadsheetml/2006/main" id="7" name="PageTemplatesTable" displayName="PageTemplatesTable" ref="A1:H9" headerRowCount="1">
  <x:tableColumns count="8">
    <x:tableColumn id="1" name="Page Type"/>
    <x:tableColumn id="2" name="Section Order"/>
    <x:tableColumn id="3" name="Above-the-Fold Requirements"/>
    <x:tableColumn id="4" name="Evidence / Originality"/>
    <x:tableColumn id="5" name="SEO Requirements"/>
    <x:tableColumn id="6" name="LLM / AI Search Requirements"/>
    <x:tableColumn id="7" name="Monetization Rules"/>
    <x:tableColumn id="8" name="Recommended Schema"/>
  </x:tableColumns>
  <x:tableStyleInfo name="TableStyleMedium2" showRowStripes="1"/>
</x:table>
</file>

<file path=xl/tables/table8.xml><?xml version="1.0" encoding="utf-8"?>
<x:table xmlns:x="http://schemas.openxmlformats.org/spreadsheetml/2006/main" id="8" name="InternalLinkingTable" displayName="InternalLinkingTable" ref="A1:G13" headerRowCount="1">
  <x:tableColumns count="7">
    <x:tableColumn id="1" name="Source Page Type"/>
    <x:tableColumn id="2" name="Target Page Type"/>
    <x:tableColumn id="3" name="Minimum Links"/>
    <x:tableColumn id="4" name="Anchor Pattern"/>
    <x:tableColumn id="5" name="Placement"/>
    <x:tableColumn id="6" name="Rule"/>
    <x:tableColumn id="7" name="Example"/>
  </x:tableColumns>
  <x:tableStyleInfo name="TableStyleMedium2" showRowStripes="1"/>
</x:table>
</file>

<file path=xl/tables/table9.xml><?xml version="1.0" encoding="utf-8"?>
<x:table xmlns:x="http://schemas.openxmlformats.org/spreadsheetml/2006/main" id="9" name="SeoLlmChecklistTable" displayName="SeoLlmChecklistTable" ref="A1:G21" headerRowCount="1">
  <x:tableColumns count="7">
    <x:tableColumn id="1" name="Area"/>
    <x:tableColumn id="2" name="Priority"/>
    <x:tableColumn id="3" name="Requirement"/>
    <x:tableColumn id="4" name="Implementation"/>
    <x:tableColumn id="5" name="Acceptance Test"/>
    <x:tableColumn id="6" name="Owner"/>
    <x:tableColumn id="7" name="Status"/>
  </x:tableColumns>
  <x:tableStyleInfo name="TableStyleMedium2" showRowStripes="1"/>
</x:table>
</file>

<file path=xl/tables/table10.xml><?xml version="1.0" encoding="utf-8"?>
<x:table xmlns:x="http://schemas.openxmlformats.org/spreadsheetml/2006/main" id="10" name="UiUxComponentsTable" displayName="UiUxComponentsTable" ref="A1:H18" headerRowCount="1">
  <x:tableColumns count="8">
    <x:tableColumn id="1" name="Component"/>
    <x:tableColumn id="2" name="Priority"/>
    <x:tableColumn id="3" name="Used On"/>
    <x:tableColumn id="4" name="Desktop Behaviour"/>
    <x:tableColumn id="5" name="Mobile Behaviour"/>
    <x:tableColumn id="6" name="SEO/Accessibility"/>
    <x:tableColumn id="7" name="Conversion Rule"/>
    <x:tableColumn id="8" name="Cursor Acceptance Criteria"/>
  </x:tableColumns>
  <x:tableStyleInfo name="TableStyleMedium2" showRowStripes="1"/>
</x:table>
</file>

<file path=xl/tables/table11.xml><?xml version="1.0" encoding="utf-8"?>
<x:table xmlns:x="http://schemas.openxmlformats.org/spreadsheetml/2006/main" id="11" name="NextJsVercelBuildTable" displayName="NextJsVercelBuildTable" ref="A1:H25" headerRowCount="1">
  <x:tableColumns count="8">
    <x:tableColumn id="1" name="Build ID"/>
    <x:tableColumn id="2" name="Priority"/>
    <x:tableColumn id="3" name="Area"/>
    <x:tableColumn id="4" name="Recommended Path / File"/>
    <x:tableColumn id="5" name="Implementation"/>
    <x:tableColumn id="6" name="Vercel / Performance Notes"/>
    <x:tableColumn id="7" name="Acceptance Test"/>
    <x:tableColumn id="8" name="Status"/>
  </x:tableColumns>
  <x:tableStyleInfo name="TableStyleMedium2" showRowStripes="1"/>
</x:table>
</file>

<file path=xl/tables/table12.xml><?xml version="1.0" encoding="utf-8"?>
<x:table xmlns:x="http://schemas.openxmlformats.org/spreadsheetml/2006/main" id="12" name="CursorPromptsTable" displayName="CursorPromptsTable" ref="A1:F16" headerRowCount="1">
  <x:tableColumns count="6">
    <x:tableColumn id="1" name="Prompt ID"/>
    <x:tableColumn id="2" name="Priority"/>
    <x:tableColumn id="3" name="Use When"/>
    <x:tableColumn id="4" name="Copy-Paste Prompt for Cursor"/>
    <x:tableColumn id="5" name="Expected Output"/>
    <x:tableColumn id="6" name="Review Checklist"/>
  </x:tableColumns>
  <x:tableStyleInfo name="TableStyleMedium2" showRowStripes="1"/>
</x:table>
</file>

<file path=xl/tables/table13.xml><?xml version="1.0" encoding="utf-8"?>
<x:table xmlns:x="http://schemas.openxmlformats.org/spreadsheetml/2006/main" id="13" name="SchemaMapTable" displayName="SchemaMapTable" ref="A1:F11" headerRowCount="1">
  <x:tableColumns count="6">
    <x:tableColumn id="1" name="Page / Entity"/>
    <x:tableColumn id="2" name="Schema"/>
    <x:tableColumn id="3" name="Required Data"/>
    <x:tableColumn id="4" name="Do Not Do"/>
    <x:tableColumn id="5" name="Validation"/>
    <x:tableColumn id="6" name="Priority"/>
  </x:tableColumns>
  <x:tableStyleInfo name="TableStyleMedium2" showRowStripes="1"/>
</x:table>
</file>

<file path=xl/tables/table14.xml><?xml version="1.0" encoding="utf-8"?>
<x:table xmlns:x="http://schemas.openxmlformats.org/spreadsheetml/2006/main" id="14" name="AmazonComplianceTable" displayName="AmazonComplianceTable" ref="A1:G13" headerRowCount="1">
  <x:tableColumns count="7">
    <x:tableColumn id="1" name="Rule Area"/>
    <x:tableColumn id="2" name="Priority"/>
    <x:tableColumn id="3" name="Required Practice"/>
    <x:tableColumn id="4" name="Prohibited / High-Risk Practice"/>
    <x:tableColumn id="5" name="Implementation in CounterCrave"/>
    <x:tableColumn id="6" name="Official Source URL"/>
    <x:tableColumn id="7" name="Status"/>
  </x:tableColumns>
  <x:tableStyleInfo name="TableStyleMedium2" showRowStripes="1"/>
</x:table>
</file>

<file path=xl/tables/table15.xml><?xml version="1.0" encoding="utf-8"?>
<x:table xmlns:x="http://schemas.openxmlformats.org/spreadsheetml/2006/main" id="15" name="EditorialQaTable" displayName="EditorialQaTable" ref="A1:G23" headerRowCount="1">
  <x:tableColumns count="7">
    <x:tableColumn id="1" name="QA Stage"/>
    <x:tableColumn id="2" name="Priority"/>
    <x:tableColumn id="3" name="Check"/>
    <x:tableColumn id="4" name="Pass Criteria"/>
    <x:tableColumn id="5" name="Applicable Page Types"/>
    <x:tableColumn id="6" name="Owner"/>
    <x:tableColumn id="7" name="Status"/>
  </x:tableColumns>
  <x:tableStyleInfo name="TableStyleMedium2" showRowStripes="1"/>
</x:table>
</file>

<file path=xl/tables/table16.xml><?xml version="1.0" encoding="utf-8"?>
<x:table xmlns:x="http://schemas.openxmlformats.org/spreadsheetml/2006/main" id="16" name="PublishTrackerTable" displayName="PublishTrackerTable" ref="A1:N229" headerRowCount="1">
  <x:tableColumns count="14">
    <x:tableColumn id="1" name="Execution Order"/>
    <x:tableColumn id="2" name="Page ID"/>
    <x:tableColumn id="3" name="Priority"/>
    <x:tableColumn id="4" name="Cluster"/>
    <x:tableColumn id="5" name="Page Type"/>
    <x:tableColumn id="6" name="Page Title"/>
    <x:tableColumn id="7" name="Status"/>
    <x:tableColumn id="8" name="Writer"/>
    <x:tableColumn id="9" name="Editor"/>
    <x:tableColumn id="10" name="Live URL"/>
    <x:tableColumn id="11" name="Indexed"/>
    <x:tableColumn id="12" name="Amazon Links Added"/>
    <x:tableColumn id="13" name="Last Meaningful Update"/>
    <x:tableColumn id="14" name="Notes"/>
  </x:tableColumns>
  <x:tableStyleInfo name="TableStyleMedium2" showRowStripes="1"/>
</x:table>
</file>

<file path=xl/tables/table17.xml><?xml version="1.0" encoding="utf-8"?>
<x:table xmlns:x="http://schemas.openxmlformats.org/spreadsheetml/2006/main" id="17" name="KpiTrackerTable" displayName="KpiTrackerTable" ref="A1:M25" headerRowCount="1">
  <x:tableColumns count="13">
    <x:tableColumn id="1" name="Reporting Period"/>
    <x:tableColumn id="2" name="Published Pages"/>
    <x:tableColumn id="3" name="Indexed Pages"/>
    <x:tableColumn id="4" name="Organic Impressions"/>
    <x:tableColumn id="5" name="Organic Clicks"/>
    <x:tableColumn id="6" name="Amazon Clicks"/>
    <x:tableColumn id="7" name="Ordered Items"/>
    <x:tableColumn id="8" name="Conversion Rate"/>
    <x:tableColumn id="9" name="Revenue USD"/>
    <x:tableColumn id="10" name="EPC USD"/>
    <x:tableColumn id="11" name="Top Page"/>
    <x:tableColumn id="12" name="Top Query"/>
    <x:tableColumn id="13" name="Actions"/>
  </x:tableColumns>
  <x:tableStyleInfo name="TableStyleMedium2" showRowStripes="1"/>
</x:table>
</file>

<file path=xl/tables/table18.xml><?xml version="1.0" encoding="utf-8"?>
<x:table xmlns:x="http://schemas.openxmlformats.org/spreadsheetml/2006/main" id="18" name="SourcesTable" displayName="SourcesTable" ref="A1:E17" headerRowCount="1">
  <x:tableColumns count="5">
    <x:tableColumn id="1" name="Source"/>
    <x:tableColumn id="2" name="Publisher"/>
    <x:tableColumn id="3" name="Use in Workbook"/>
    <x:tableColumn id="4" name="URL"/>
    <x:tableColumn id="5" name="Access / Review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ceb4e2b4aed406e" /></Relationships>
</file>

<file path=xl/worksheets/_rels/sheet2.xml.rels>&#65279;<?xml version="1.0" encoding="utf-8"?><Relationships xmlns="http://schemas.openxmlformats.org/package/2006/relationships"><Relationship Type="http://schemas.openxmlformats.org/officeDocument/2006/relationships/table" Target="/xl/tables/table1.xml" Id="R737c97c306964718" /></Relationships>
</file>

<file path=xl/worksheets/_rels/sheet3.xml.rels>&#65279;<?xml version="1.0" encoding="utf-8"?><Relationships xmlns="http://schemas.openxmlformats.org/package/2006/relationships"><Relationship Type="http://schemas.openxmlformats.org/officeDocument/2006/relationships/table" Target="/xl/tables/table2.xml" Id="R5e740d75a13f49da" /></Relationships>
</file>

<file path=xl/worksheets/_rels/sheet4.xml.rels>&#65279;<?xml version="1.0" encoding="utf-8"?><Relationships xmlns="http://schemas.openxmlformats.org/package/2006/relationships"><Relationship Type="http://schemas.openxmlformats.org/officeDocument/2006/relationships/table" Target="/xl/tables/table3.xml" Id="Rf7e39a4400404743" /></Relationships>
</file>

<file path=xl/worksheets/_rels/sheet5.xml.rels>&#65279;<?xml version="1.0" encoding="utf-8"?><Relationships xmlns="http://schemas.openxmlformats.org/package/2006/relationships"><Relationship Type="http://schemas.openxmlformats.org/officeDocument/2006/relationships/table" Target="/xl/tables/table4.xml" Id="R4eea65a0f9924584" /></Relationships>
</file>

<file path=xl/worksheets/_rels/sheet6.xml.rels>&#65279;<?xml version="1.0" encoding="utf-8"?><Relationships xmlns="http://schemas.openxmlformats.org/package/2006/relationships"><Relationship Type="http://schemas.openxmlformats.org/officeDocument/2006/relationships/table" Target="/xl/tables/table5.xml" Id="R5425e0619b604a77" /></Relationships>
</file>

<file path=xl/worksheets/_rels/sheet7.xml.rels>&#65279;<?xml version="1.0" encoding="utf-8"?><Relationships xmlns="http://schemas.openxmlformats.org/package/2006/relationships"><Relationship Type="http://schemas.openxmlformats.org/officeDocument/2006/relationships/table" Target="/xl/tables/table6.xml" Id="R661d193894004834" /></Relationships>
</file>

<file path=xl/worksheets/_rels/sheet8.xml.rels>&#65279;<?xml version="1.0" encoding="utf-8"?><Relationships xmlns="http://schemas.openxmlformats.org/package/2006/relationships"><Relationship Type="http://schemas.openxmlformats.org/officeDocument/2006/relationships/table" Target="/xl/tables/table7.xml" Id="R91d6f84f2fab4c31" /></Relationships>
</file>

<file path=xl/worksheets/_rels/sheet9.xml.rels>&#65279;<?xml version="1.0" encoding="utf-8"?><Relationships xmlns="http://schemas.openxmlformats.org/package/2006/relationships"><Relationship Type="http://schemas.openxmlformats.org/officeDocument/2006/relationships/table" Target="/xl/tables/table8.xml" Id="Rdee26f2f0a05422a" /></Relationships>
</file>

<file path=xl/worksheets/_rels/sheet10.xml.rels>&#65279;<?xml version="1.0" encoding="utf-8"?><Relationships xmlns="http://schemas.openxmlformats.org/package/2006/relationships"><Relationship Type="http://schemas.openxmlformats.org/officeDocument/2006/relationships/table" Target="/xl/tables/table9.xml" Id="Rc49e57a4b80c4a12" /></Relationships>
</file>

<file path=xl/worksheets/_rels/sheet11.xml.rels>&#65279;<?xml version="1.0" encoding="utf-8"?><Relationships xmlns="http://schemas.openxmlformats.org/package/2006/relationships"><Relationship Type="http://schemas.openxmlformats.org/officeDocument/2006/relationships/table" Target="/xl/tables/table10.xml" Id="Re2ee6599e3e945a8" /></Relationships>
</file>

<file path=xl/worksheets/_rels/sheet12.xml.rels>&#65279;<?xml version="1.0" encoding="utf-8"?><Relationships xmlns="http://schemas.openxmlformats.org/package/2006/relationships"><Relationship Type="http://schemas.openxmlformats.org/officeDocument/2006/relationships/table" Target="/xl/tables/table11.xml" Id="R1aac91617c874578" /></Relationships>
</file>

<file path=xl/worksheets/_rels/sheet13.xml.rels>&#65279;<?xml version="1.0" encoding="utf-8"?><Relationships xmlns="http://schemas.openxmlformats.org/package/2006/relationships"><Relationship Type="http://schemas.openxmlformats.org/officeDocument/2006/relationships/table" Target="/xl/tables/table12.xml" Id="Rc3e62135b65e4ba7" /></Relationships>
</file>

<file path=xl/worksheets/_rels/sheet14.xml.rels>&#65279;<?xml version="1.0" encoding="utf-8"?><Relationships xmlns="http://schemas.openxmlformats.org/package/2006/relationships"><Relationship Type="http://schemas.openxmlformats.org/officeDocument/2006/relationships/table" Target="/xl/tables/table13.xml" Id="R75bb6aea03a54d2b" /></Relationships>
</file>

<file path=xl/worksheets/_rels/sheet15.xml.rels>&#65279;<?xml version="1.0" encoding="utf-8"?><Relationships xmlns="http://schemas.openxmlformats.org/package/2006/relationships"><Relationship Type="http://schemas.openxmlformats.org/officeDocument/2006/relationships/table" Target="/xl/tables/table14.xml" Id="Raf331bb7238f41b3" /></Relationships>
</file>

<file path=xl/worksheets/_rels/sheet16.xml.rels>&#65279;<?xml version="1.0" encoding="utf-8"?><Relationships xmlns="http://schemas.openxmlformats.org/package/2006/relationships"><Relationship Type="http://schemas.openxmlformats.org/officeDocument/2006/relationships/table" Target="/xl/tables/table15.xml" Id="R2faf4d2dd4a5456f" /></Relationships>
</file>

<file path=xl/worksheets/_rels/sheet17.xml.rels>&#65279;<?xml version="1.0" encoding="utf-8"?><Relationships xmlns="http://schemas.openxmlformats.org/package/2006/relationships"><Relationship Type="http://schemas.openxmlformats.org/officeDocument/2006/relationships/table" Target="/xl/tables/table16.xml" Id="R0781e09c8c2947e4" /></Relationships>
</file>

<file path=xl/worksheets/_rels/sheet18.xml.rels>&#65279;<?xml version="1.0" encoding="utf-8"?><Relationships xmlns="http://schemas.openxmlformats.org/package/2006/relationships"><Relationship Type="http://schemas.openxmlformats.org/officeDocument/2006/relationships/table" Target="/xl/tables/table17.xml" Id="R45fa21f935e64430" /></Relationships>
</file>

<file path=xl/worksheets/_rels/sheet19.xml.rels>&#65279;<?xml version="1.0" encoding="utf-8"?><Relationships xmlns="http://schemas.openxmlformats.org/package/2006/relationships"><Relationship Type="http://schemas.openxmlformats.org/officeDocument/2006/relationships/table" Target="/xl/tables/table18.xml" Id="R8bd5f0f19729465f" /></Relationships>
</file>

<file path=xl/worksheets/sheet1.xml><?xml version="1.0" encoding="utf-8"?>
<x:worksheet xmlns:x="http://schemas.openxmlformats.org/spreadsheetml/2006/main">
  <x:sheetFormatPr defaultRowHeight="15"/>
  <x:cols>
    <x:col min="1" max="1" width="22" hidden="0" customWidth="1"/>
    <x:col min="2" max="2" width="48" hidden="0" customWidth="1"/>
    <x:col min="3" max="3" width="37" hidden="0" customWidth="1"/>
    <x:col min="4" max="4" width="55" hidden="0" customWidth="1"/>
    <x:col min="5" max="5" width="28" hidden="0" customWidth="1"/>
    <x:col min="6" max="6" width="16" hidden="0" customWidth="1"/>
    <x:col min="9" max="9" width="22" hidden="0" customWidth="1"/>
    <x:col min="10" max="10" width="12" hidden="0" customWidth="1"/>
  </x:cols>
  <x:sheetData>
    <x:row r="1" ht="34" customHeight="1">
      <x:c r="A1" s="131" t="str">
        <x:v>CounterCrave — Priority-Based Amazon Affiliate Master Workbook</x:v>
      </x:c>
      <x:c r="B1" s="131"/>
      <x:c r="C1" s="131"/>
      <x:c r="D1" s="131"/>
      <x:c r="E1" s="131"/>
      <x:c r="F1" s="131"/>
      <x:c r="G1" s="131"/>
      <x:c r="H1" s="131"/>
      <x:c r="I1" s="131"/>
      <x:c r="J1" s="131"/>
      <x:c r="K1" s="131"/>
      <x:c r="L1" s="131"/>
      <x:c r="M1" s="131"/>
      <x:c r="N1" s="131"/>
    </x:row>
    <x:row r="2">
      <x:c r="A2" s="47"/>
      <x:c r="B2" s="47"/>
      <x:c r="C2" s="47"/>
      <x:c r="D2" s="47"/>
      <x:c r="E2" s="47"/>
      <x:c r="F2" s="47"/>
      <x:c r="G2" s="47"/>
      <x:c r="H2" s="47"/>
      <x:c r="I2" s="47"/>
      <x:c r="J2" s="47"/>
      <x:c r="K2" s="47"/>
      <x:c r="L2" s="47"/>
      <x:c r="M2" s="47"/>
      <x:c r="N2" s="47"/>
    </x:row>
    <x:row r="3">
      <x:c r="A3" s="132" t="str">
        <x:v>Project Snapshot</x:v>
      </x:c>
      <x:c r="B3" s="132"/>
      <x:c r="C3" s="132"/>
      <x:c r="D3" s="47"/>
      <x:c r="E3" s="132" t="str">
        <x:v>Workbook KPIs</x:v>
      </x:c>
      <x:c r="F3" s="132"/>
      <x:c r="G3" s="132"/>
      <x:c r="H3" s="47"/>
      <x:c r="I3" s="87" t="str">
        <x:v>Page Type</x:v>
      </x:c>
      <x:c r="J3" s="88" t="str">
        <x:v>Count</x:v>
      </x:c>
      <x:c r="K3" s="47"/>
      <x:c r="L3" s="47"/>
      <x:c r="M3" s="47"/>
      <x:c r="N3" s="47"/>
    </x:row>
    <x:row r="4">
      <x:c r="A4" s="28" t="str">
        <x:v>Brand</x:v>
      </x:c>
      <x:c r="B4" s="45" t="str">
        <x:v>CounterCrave</x:v>
      </x:c>
      <x:c r="C4" s="46" t="str">
        <x:v>Honest countertop kitchen gear picks</x:v>
      </x:c>
      <x:c r="D4" s="47"/>
      <x:c r="E4" s="28" t="str">
        <x:v>Total planned content URLs</x:v>
      </x:c>
      <x:c r="F4" s="133" t="n">
        <x:f>COUNTA('Page Inventory'!$B$2:$B$229)</x:f>
        <x:v>228</x:v>
      </x:c>
      <x:c r="G4" s="47"/>
      <x:c r="H4" s="47"/>
      <x:c r="I4" s="134" t="str">
        <x:v>Roundup</x:v>
      </x:c>
      <x:c r="J4" s="48" t="n">
        <x:v>82</x:v>
      </x:c>
      <x:c r="K4" s="47"/>
      <x:c r="L4" s="47"/>
      <x:c r="M4" s="47"/>
      <x:c r="N4" s="47"/>
    </x:row>
    <x:row r="5">
      <x:c r="A5" s="31" t="str">
        <x:v>Domain</x:v>
      </x:c>
      <x:c r="B5" s="47" t="str">
        <x:v>countercrave.com</x:v>
      </x:c>
      <x:c r="C5" s="48" t="str">
        <x:v>Next.js App Router on Vercel</x:v>
      </x:c>
      <x:c r="D5" s="47"/>
      <x:c r="E5" s="31" t="str">
        <x:v>P1 pages</x:v>
      </x:c>
      <x:c r="F5" s="135" t="n">
        <x:f>COUNTIF('Page Inventory'!$C$2:$C$229,"P1")</x:f>
        <x:v>32</x:v>
      </x:c>
      <x:c r="G5" s="47"/>
      <x:c r="H5" s="47"/>
      <x:c r="I5" s="134" t="str">
        <x:v>Informational</x:v>
      </x:c>
      <x:c r="J5" s="48" t="n">
        <x:v>36</x:v>
      </x:c>
      <x:c r="K5" s="47"/>
      <x:c r="L5" s="47"/>
      <x:c r="M5" s="47"/>
      <x:c r="N5" s="47"/>
    </x:row>
    <x:row r="6">
      <x:c r="A6" s="31" t="str">
        <x:v>Market</x:v>
      </x:c>
      <x:c r="B6" s="47" t="str">
        <x:v>United States</x:v>
      </x:c>
      <x:c r="C6" s="48" t="str">
        <x:v>Amazon.com Associates</x:v>
      </x:c>
      <x:c r="D6" s="47"/>
      <x:c r="E6" s="31" t="str">
        <x:v>P2 pages</x:v>
      </x:c>
      <x:c r="F6" s="135" t="n">
        <x:f>COUNTIF('Page Inventory'!$C$2:$C$229,"P2")</x:f>
        <x:v>68</x:v>
      </x:c>
      <x:c r="G6" s="47"/>
      <x:c r="H6" s="47"/>
      <x:c r="I6" s="134" t="str">
        <x:v>Comparison</x:v>
      </x:c>
      <x:c r="J6" s="48" t="n">
        <x:v>34</x:v>
      </x:c>
      <x:c r="K6" s="47"/>
      <x:c r="L6" s="47"/>
      <x:c r="M6" s="47"/>
      <x:c r="N6" s="47"/>
    </x:row>
    <x:row r="7">
      <x:c r="A7" s="31" t="str">
        <x:v>Execution Model</x:v>
      </x:c>
      <x:c r="B7" s="47" t="str">
        <x:v>Priority-based</x:v>
      </x:c>
      <x:c r="C7" s="48" t="str">
        <x:v>No date/day dependency</x:v>
      </x:c>
      <x:c r="D7" s="47"/>
      <x:c r="E7" s="31" t="str">
        <x:v>P3 pages</x:v>
      </x:c>
      <x:c r="F7" s="135" t="n">
        <x:f>COUNTIF('Page Inventory'!$C$2:$C$229,"P3")</x:f>
        <x:v>80</x:v>
      </x:c>
      <x:c r="G7" s="47"/>
      <x:c r="H7" s="47"/>
      <x:c r="I7" s="134" t="str">
        <x:v>Single Review</x:v>
      </x:c>
      <x:c r="J7" s="48" t="n">
        <x:v>30</x:v>
      </x:c>
      <x:c r="K7" s="47"/>
      <x:c r="L7" s="47"/>
      <x:c r="M7" s="47"/>
      <x:c r="N7" s="47"/>
    </x:row>
    <x:row r="8">
      <x:c r="A8" s="31" t="str">
        <x:v>Primary Revenue Cluster</x:v>
      </x:c>
      <x:c r="B8" s="47" t="str">
        <x:v>Air Fryers</x:v>
      </x:c>
      <x:c r="C8" s="48" t="str">
        <x:v>Launch first</x:v>
      </x:c>
      <x:c r="D8" s="47"/>
      <x:c r="E8" s="31" t="str">
        <x:v>P4 pages</x:v>
      </x:c>
      <x:c r="F8" s="135" t="n">
        <x:f>COUNTIF('Page Inventory'!$C$2:$C$229,"P4")</x:f>
        <x:v>48</x:v>
      </x:c>
      <x:c r="G8" s="47"/>
      <x:c r="H8" s="47"/>
      <x:c r="I8" s="134" t="str">
        <x:v>Buying Guide</x:v>
      </x:c>
      <x:c r="J8" s="48" t="n">
        <x:v>14</x:v>
      </x:c>
      <x:c r="K8" s="47"/>
      <x:c r="L8" s="47"/>
      <x:c r="M8" s="47"/>
      <x:c r="N8" s="47"/>
    </x:row>
    <x:row r="9">
      <x:c r="A9" s="31" t="str">
        <x:v>Second Revenue Cluster</x:v>
      </x:c>
      <x:c r="B9" s="47" t="str">
        <x:v>Blenders</x:v>
      </x:c>
      <x:c r="C9" s="48" t="str">
        <x:v>Build alongside Air Fryer support content</x:v>
      </x:c>
      <x:c r="D9" s="47"/>
      <x:c r="E9" s="31" t="str">
        <x:v>Published pages</x:v>
      </x:c>
      <x:c r="F9" s="135" t="n">
        <x:f>COUNTIF('Publish Tracker'!$G$2:$G$229,"Published")</x:f>
        <x:v>0</x:v>
      </x:c>
      <x:c r="G9" s="47"/>
      <x:c r="H9" s="47"/>
      <x:c r="I9" s="134" t="str">
        <x:v>How-To</x:v>
      </x:c>
      <x:c r="J9" s="48" t="n">
        <x:v>11</x:v>
      </x:c>
      <x:c r="K9" s="47"/>
      <x:c r="L9" s="47"/>
      <x:c r="M9" s="47"/>
      <x:c r="N9" s="47"/>
    </x:row>
    <x:row r="10">
      <x:c r="A10" s="31" t="str">
        <x:v>Expansion</x:v>
      </x:c>
      <x:c r="B10" s="47" t="str">
        <x:v>Kettles → Toaster Ovens → Food Processors</x:v>
      </x:c>
      <x:c r="C10" s="48" t="str">
        <x:v>Then remaining categories</x:v>
      </x:c>
      <x:c r="D10" s="47"/>
      <x:c r="E10" s="31" t="str">
        <x:v>Overall completion</x:v>
      </x:c>
      <x:c r="F10" s="136" t="n">
        <x:f>IFERROR(F9/F4,0)</x:f>
        <x:v>0</x:v>
      </x:c>
      <x:c r="G10" s="47"/>
      <x:c r="H10" s="47"/>
      <x:c r="I10" s="134" t="str">
        <x:v>Category Hub</x:v>
      </x:c>
      <x:c r="J10" s="48" t="n">
        <x:v>9</x:v>
      </x:c>
      <x:c r="K10" s="47"/>
      <x:c r="L10" s="47"/>
      <x:c r="M10" s="47"/>
      <x:c r="N10" s="47"/>
    </x:row>
    <x:row r="11">
      <x:c r="A11" s="34" t="str">
        <x:v>Content Standard</x:v>
      </x:c>
      <x:c r="B11" s="49" t="str">
        <x:v>Original analysis + helpful decision support</x:v>
      </x:c>
      <x:c r="C11" s="50" t="str">
        <x:v>No scraped or invented reviews</x:v>
      </x:c>
      <x:c r="D11" s="47"/>
      <x:c r="E11" s="34" t="str">
        <x:v>Pillar pages</x:v>
      </x:c>
      <x:c r="F11" s="137" t="n">
        <x:f>COUNTA('Pillar Pages'!$A$2:$A$19)</x:f>
        <x:v>18</x:v>
      </x:c>
      <x:c r="G11" s="47"/>
      <x:c r="H11" s="47"/>
      <x:c r="I11" s="134" t="str">
        <x:v>Commercial Pillar</x:v>
      </x:c>
      <x:c r="J11" s="48" t="n">
        <x:v>9</x:v>
      </x:c>
      <x:c r="K11" s="47"/>
      <x:c r="L11" s="47"/>
      <x:c r="M11" s="47"/>
      <x:c r="N11" s="47"/>
    </x:row>
    <x:row r="12">
      <x:c r="A12" s="47"/>
      <x:c r="B12" s="47"/>
      <x:c r="C12" s="47"/>
      <x:c r="D12" s="47"/>
      <x:c r="E12" s="47"/>
      <x:c r="F12" s="47"/>
      <x:c r="G12" s="47"/>
      <x:c r="H12" s="47"/>
      <x:c r="I12" s="138" t="str">
        <x:v>Accessory Roundup</x:v>
      </x:c>
      <x:c r="J12" s="50" t="n">
        <x:v>3</x:v>
      </x:c>
      <x:c r="K12" s="47"/>
      <x:c r="L12" s="47"/>
      <x:c r="M12" s="47"/>
      <x:c r="N12" s="47"/>
    </x:row>
    <x:row r="13">
      <x:c r="A13" s="132" t="str">
        <x:v>Priority Rules</x:v>
      </x:c>
      <x:c r="B13" s="132"/>
      <x:c r="C13" s="132"/>
      <x:c r="D13" s="132"/>
      <x:c r="E13" s="132"/>
      <x:c r="F13" s="132"/>
      <x:c r="G13" s="132"/>
      <x:c r="H13" s="47"/>
      <x:c r="I13" s="47"/>
      <x:c r="J13" s="47"/>
      <x:c r="K13" s="47"/>
      <x:c r="L13" s="47"/>
      <x:c r="M13" s="47"/>
      <x:c r="N13" s="47"/>
    </x:row>
    <x:row r="14">
      <x:c r="A14" s="28" t="str">
        <x:v>P0</x:v>
      </x:c>
      <x:c r="B14" s="45" t="str">
        <x:v>Foundation and compliance</x:v>
      </x:c>
      <x:c r="C14" s="45" t="str">
        <x:v>Must exist before affiliate application or public promotion</x:v>
      </x:c>
      <x:c r="D14" s="46" t="str">
        <x:v>Domain, trust pages, disclosures, tracking, crawlability, design system</x:v>
      </x:c>
      <x:c r="E14" s="47"/>
      <x:c r="F14" s="47"/>
      <x:c r="G14" s="47"/>
      <x:c r="H14" s="47"/>
      <x:c r="I14" s="47"/>
      <x:c r="J14" s="47"/>
      <x:c r="K14" s="47"/>
      <x:c r="L14" s="47"/>
      <x:c r="M14" s="47"/>
      <x:c r="N14" s="47"/>
    </x:row>
    <x:row r="15">
      <x:c r="A15" s="31" t="str">
        <x:v>P1</x:v>
      </x:c>
      <x:c r="B15" s="47" t="str">
        <x:v>Fastest earning and approval readiness</x:v>
      </x:c>
      <x:c r="C15" s="47" t="str">
        <x:v>Build first</x:v>
      </x:c>
      <x:c r="D15" s="48" t="str">
        <x:v>Air Fryer + Blender hubs, commercial pages, high-intent long tails, methodology</x:v>
      </x:c>
      <x:c r="E15" s="47"/>
      <x:c r="F15" s="47"/>
      <x:c r="G15" s="47"/>
      <x:c r="H15" s="47"/>
      <x:c r="I15" s="47"/>
      <x:c r="J15" s="47"/>
      <x:c r="K15" s="47"/>
      <x:c r="L15" s="47"/>
      <x:c r="M15" s="47"/>
      <x:c r="N15" s="47"/>
    </x:row>
    <x:row r="16">
      <x:c r="A16" s="31" t="str">
        <x:v>P2</x:v>
      </x:c>
      <x:c r="B16" s="47" t="str">
        <x:v>Authority and conversion depth</x:v>
      </x:c>
      <x:c r="C16" s="47" t="str">
        <x:v>Build after core P1 coverage</x:v>
      </x:c>
      <x:c r="D16" s="48" t="str">
        <x:v>Comparisons, reviews, safety/size guides, kettles and toaster ovens</x:v>
      </x:c>
      <x:c r="E16" s="47"/>
      <x:c r="F16" s="47"/>
      <x:c r="G16" s="47"/>
      <x:c r="H16" s="47"/>
      <x:c r="I16" s="47"/>
      <x:c r="J16" s="47"/>
      <x:c r="K16" s="47"/>
      <x:c r="L16" s="47"/>
      <x:c r="M16" s="47"/>
      <x:c r="N16" s="47"/>
    </x:row>
    <x:row r="17">
      <x:c r="A17" s="31" t="str">
        <x:v>P3</x:v>
      </x:c>
      <x:c r="B17" s="47" t="str">
        <x:v>Category expansion</x:v>
      </x:c>
      <x:c r="C17" s="47" t="str">
        <x:v>Build when P1/P2 are stable</x:v>
      </x:c>
      <x:c r="D17" s="48" t="str">
        <x:v>Food processors, mini choppers, rice cookers, coffee grinders</x:v>
      </x:c>
      <x:c r="E17" s="47"/>
      <x:c r="F17" s="47"/>
      <x:c r="G17" s="47"/>
      <x:c r="H17" s="47"/>
      <x:c r="I17" s="47"/>
      <x:c r="J17" s="47"/>
      <x:c r="K17" s="47"/>
      <x:c r="L17" s="47"/>
      <x:c r="M17" s="47"/>
      <x:c r="N17" s="47"/>
    </x:row>
    <x:row r="18">
      <x:c r="A18" s="34" t="str">
        <x:v>P4</x:v>
      </x:c>
      <x:c r="B18" s="49" t="str">
        <x:v>Future scale and validation backlog</x:v>
      </x:c>
      <x:c r="C18" s="49" t="str">
        <x:v>Publish only after SERP/product validation</x:v>
      </x:c>
      <x:c r="D18" s="50" t="str">
        <x:v>Lower-priority product reviews, waffle makers and deeper variants</x:v>
      </x:c>
      <x:c r="E18" s="47"/>
      <x:c r="F18" s="47"/>
      <x:c r="G18" s="47"/>
      <x:c r="H18" s="47"/>
      <x:c r="I18" s="47"/>
      <x:c r="J18" s="47"/>
      <x:c r="K18" s="47"/>
      <x:c r="L18" s="47"/>
      <x:c r="M18" s="47"/>
      <x:c r="N18" s="47"/>
    </x:row>
    <x:row r="19">
      <x:c r="A19" s="47"/>
      <x:c r="B19" s="47"/>
      <x:c r="C19" s="47"/>
      <x:c r="D19" s="47"/>
      <x:c r="E19" s="47"/>
      <x:c r="F19" s="47"/>
      <x:c r="G19" s="47"/>
      <x:c r="H19" s="47"/>
      <x:c r="I19" s="47"/>
      <x:c r="J19" s="47"/>
      <x:c r="K19" s="47"/>
      <x:c r="L19" s="47"/>
      <x:c r="M19" s="47"/>
      <x:c r="N19" s="47"/>
    </x:row>
    <x:row r="20">
      <x:c r="A20" s="132" t="str">
        <x:v>Non-Negotiable Quality Rules</x:v>
      </x:c>
      <x:c r="B20" s="132"/>
      <x:c r="C20" s="132"/>
      <x:c r="D20" s="132"/>
      <x:c r="E20" s="132"/>
      <x:c r="F20" s="132"/>
      <x:c r="G20" s="132"/>
      <x:c r="H20" s="47"/>
      <x:c r="I20" s="47"/>
      <x:c r="J20" s="47"/>
      <x:c r="K20" s="47"/>
      <x:c r="L20" s="47"/>
      <x:c r="M20" s="47"/>
      <x:c r="N20" s="47"/>
    </x:row>
    <x:row r="21">
      <x:c r="A21" s="28" t="str">
        <x:v>Apply only when the site looks established</x:v>
      </x:c>
      <x:c r="B21" s="46" t="str">
        <x:v>Use strong original posts, About, Contact, Privacy and Affiliate Disclosure; the workbook prioritizes 10+ substantial posts before application.</x:v>
      </x:c>
      <x:c r="C21" s="47"/>
      <x:c r="D21" s="47"/>
      <x:c r="E21" s="47"/>
      <x:c r="F21" s="47"/>
      <x:c r="G21" s="47"/>
      <x:c r="H21" s="47"/>
      <x:c r="I21" s="47"/>
      <x:c r="J21" s="47"/>
      <x:c r="K21" s="47"/>
      <x:c r="L21" s="47"/>
      <x:c r="M21" s="47"/>
      <x:c r="N21" s="47"/>
    </x:row>
    <x:row r="22">
      <x:c r="A22" s="31" t="str">
        <x:v>Never invent hands-on testing</x:v>
      </x:c>
      <x:c r="B22" s="48" t="str">
        <x:v>Label research-based reviews honestly. Hands-on claims require actual testing evidence.</x:v>
      </x:c>
      <x:c r="C22" s="47"/>
      <x:c r="D22" s="47"/>
      <x:c r="E22" s="47"/>
      <x:c r="F22" s="47"/>
      <x:c r="G22" s="47"/>
      <x:c r="H22" s="47"/>
      <x:c r="I22" s="47"/>
      <x:c r="J22" s="47"/>
      <x:c r="K22" s="47"/>
      <x:c r="L22" s="47"/>
      <x:c r="M22" s="47"/>
      <x:c r="N22" s="47"/>
    </x:row>
    <x:row r="23">
      <x:c r="A23" s="31" t="str">
        <x:v>No copied Amazon material</x:v>
      </x:c>
      <x:c r="B23" s="48" t="str">
        <x:v>Do not scrape product descriptions, customer reviews or star ratings. Use permitted links/content and your own analysis.</x:v>
      </x:c>
      <x:c r="C23" s="47"/>
      <x:c r="D23" s="47"/>
      <x:c r="E23" s="47"/>
      <x:c r="F23" s="47"/>
      <x:c r="G23" s="47"/>
      <x:c r="H23" s="47"/>
      <x:c r="I23" s="47"/>
      <x:c r="J23" s="47"/>
      <x:c r="K23" s="47"/>
      <x:c r="L23" s="47"/>
      <x:c r="M23" s="47"/>
      <x:c r="N23" s="47"/>
    </x:row>
    <x:row r="24">
      <x:c r="A24" s="31" t="str">
        <x:v>Do not hardcode volatile prices</x:v>
      </x:c>
      <x:c r="B24" s="48" t="str">
        <x:v>Prefer “Check price on Amazon.” Display price only through permitted Amazon tools/API and keep it accurate.</x:v>
      </x:c>
      <x:c r="C24" s="47"/>
      <x:c r="D24" s="47"/>
      <x:c r="E24" s="47"/>
      <x:c r="F24" s="47"/>
      <x:c r="G24" s="47"/>
      <x:c r="H24" s="47"/>
      <x:c r="I24" s="47"/>
      <x:c r="J24" s="47"/>
      <x:c r="K24" s="47"/>
      <x:c r="L24" s="47"/>
      <x:c r="M24" s="47"/>
      <x:c r="N24" s="47"/>
    </x:row>
    <x:row r="25">
      <x:c r="A25" s="31" t="str">
        <x:v>No paid or boosted ad traffic directly to Amazon</x:v>
      </x:c>
      <x:c r="B25" s="48" t="str">
        <x:v>Use organic content acquisition unless the current Amazon rules and your setup expressly allow the traffic path.</x:v>
      </x:c>
      <x:c r="C25" s="47"/>
      <x:c r="D25" s="47"/>
      <x:c r="E25" s="47"/>
      <x:c r="F25" s="47"/>
      <x:c r="G25" s="47"/>
      <x:c r="H25" s="47"/>
      <x:c r="I25" s="47"/>
      <x:c r="J25" s="47"/>
      <x:c r="K25" s="47"/>
      <x:c r="L25" s="47"/>
      <x:c r="M25" s="47"/>
      <x:c r="N25" s="47"/>
    </x:row>
    <x:row r="26">
      <x:c r="A26" s="34" t="str">
        <x:v>LLM optimization is content optimization</x:v>
      </x:c>
      <x:c r="B26" s="50" t="str">
        <x:v>Use answer-first summaries, clear tables, named entities, evidence, citations, clean HTML and internal links. llms.txt is optional, not the core ranking strategy.</x:v>
      </x:c>
      <x:c r="C26" s="47"/>
      <x:c r="D26" s="47"/>
      <x:c r="E26" s="47"/>
      <x:c r="F26" s="47"/>
      <x:c r="G26" s="47"/>
      <x:c r="H26" s="47"/>
      <x:c r="I26" s="47"/>
      <x:c r="J26" s="47"/>
      <x:c r="K26" s="47"/>
      <x:c r="L26" s="47"/>
      <x:c r="M26" s="47"/>
      <x:c r="N26" s="47"/>
    </x:row>
    <x:row r="27">
      <x:c r="A27" s="47"/>
      <x:c r="B27" s="47"/>
      <x:c r="C27" s="47"/>
      <x:c r="D27" s="47"/>
      <x:c r="E27" s="47"/>
      <x:c r="F27" s="47"/>
      <x:c r="G27" s="47"/>
      <x:c r="H27" s="47"/>
      <x:c r="I27" s="47"/>
      <x:c r="J27" s="47"/>
      <x:c r="K27" s="47"/>
      <x:c r="L27" s="47"/>
      <x:c r="M27" s="47"/>
      <x:c r="N27" s="47"/>
    </x:row>
    <x:row r="28">
      <x:c r="A28" s="47"/>
      <x:c r="B28" s="47"/>
      <x:c r="C28" s="47"/>
      <x:c r="D28" s="47"/>
      <x:c r="E28" s="47"/>
      <x:c r="F28" s="47"/>
      <x:c r="G28" s="47"/>
      <x:c r="H28" s="47"/>
      <x:c r="I28" s="47"/>
      <x:c r="J28" s="47"/>
      <x:c r="K28" s="47"/>
      <x:c r="L28" s="47"/>
      <x:c r="M28" s="47"/>
      <x:c r="N28" s="47"/>
    </x:row>
    <x:row r="29">
      <x:c r="A29" s="47"/>
      <x:c r="B29" s="47"/>
      <x:c r="C29" s="47"/>
      <x:c r="D29" s="47"/>
      <x:c r="E29" s="47"/>
      <x:c r="F29" s="47"/>
      <x:c r="G29" s="47"/>
      <x:c r="H29" s="47"/>
      <x:c r="I29" s="47"/>
      <x:c r="J29" s="47"/>
      <x:c r="K29" s="47"/>
      <x:c r="L29" s="47"/>
      <x:c r="M29" s="47"/>
      <x:c r="N29" s="47"/>
    </x:row>
    <x:row r="30">
      <x:c r="A30" s="47"/>
      <x:c r="B30" s="47"/>
      <x:c r="C30" s="47"/>
      <x:c r="D30" s="47"/>
      <x:c r="E30" s="47"/>
      <x:c r="F30" s="47"/>
      <x:c r="G30" s="47"/>
      <x:c r="H30" s="47"/>
      <x:c r="I30" s="47"/>
      <x:c r="J30" s="47"/>
      <x:c r="K30" s="47"/>
      <x:c r="L30" s="47"/>
      <x:c r="M30" s="47"/>
      <x:c r="N30" s="47"/>
    </x:row>
  </x:sheetData>
  <x:mergeCells>
    <x:mergeCell ref="A1:N1"/>
    <x:mergeCell ref="A3:C3"/>
    <x:mergeCell ref="E3:G3"/>
    <x:mergeCell ref="A13:G13"/>
    <x:mergeCell ref="A20:G20"/>
  </x:mergeCells>
  <x:pageMargins left="0.7" right="0.7" top="0.75" bottom="0.75" header="0.3" footer="0.3"/>
  <x:drawing xmlns:r="http://schemas.openxmlformats.org/officeDocument/2006/relationships" r:id="Rcceb4e2b4aed406e"/>
</x:worksheet>
</file>

<file path=xl/worksheets/sheet2.xml><?xml version="1.0" encoding="utf-8"?>
<x:worksheet xmlns:x="http://schemas.openxmlformats.org/spreadsheetml/2006/main">
  <x:sheetFormatPr defaultRowHeight="15"/>
  <x:cols>
    <x:col min="1" max="1" width="9" hidden="0" customWidth="1"/>
    <x:col min="2" max="2" width="9" hidden="0" customWidth="1"/>
    <x:col min="3" max="3" width="20" hidden="0" customWidth="1"/>
    <x:col min="4" max="4" width="35" hidden="0" customWidth="1"/>
    <x:col min="5" max="5" width="52" hidden="0" customWidth="1"/>
    <x:col min="6" max="6" width="22" hidden="0" customWidth="1"/>
    <x:col min="7" max="7" width="20" hidden="0" customWidth="1"/>
    <x:col min="8" max="8" width="15" hidden="0" customWidth="1"/>
    <x:col min="9" max="9" width="42" hidden="0" customWidth="1"/>
  </x:cols>
  <x:sheetData>
    <x:row r="1" ht="36" customHeight="1">
      <x:c r="A1" s="81" t="str">
        <x:v>Sequence</x:v>
      </x:c>
      <x:c r="B1" s="81" t="str">
        <x:v>Priority</x:v>
      </x:c>
      <x:c r="C1" s="81" t="str">
        <x:v>Workstream</x:v>
      </x:c>
      <x:c r="D1" s="81" t="str">
        <x:v>Action</x:v>
      </x:c>
      <x:c r="E1" s="81" t="str">
        <x:v>Definition of Done</x:v>
      </x:c>
      <x:c r="F1" s="81" t="str">
        <x:v>Dependency</x:v>
      </x:c>
      <x:c r="G1" s="81" t="str">
        <x:v>Owner</x:v>
      </x:c>
      <x:c r="H1" s="81" t="str">
        <x:v>Status</x:v>
      </x:c>
      <x:c r="I1" s="81" t="str">
        <x:v>Notes</x:v>
      </x:c>
    </x:row>
    <x:row r="2">
      <x:c r="A2" s="97" t="n">
        <x:v>1</x:v>
      </x:c>
      <x:c r="B2" s="98" t="str">
        <x:v>P0</x:v>
      </x:c>
      <x:c r="C2" s="98" t="str">
        <x:v>Brand &amp; domain</x:v>
      </x:c>
      <x:c r="D2" s="98" t="str">
        <x:v>Register and secure countercrave.com</x:v>
      </x:c>
      <x:c r="E2" s="98" t="str">
        <x:v>Domain is owned in the correct account, 2FA and auto-renew enabled</x:v>
      </x:c>
      <x:c r="F2" s="98" t="str">
        <x:v>None</x:v>
      </x:c>
      <x:c r="G2" s="98" t="str">
        <x:v>Founder</x:v>
      </x:c>
      <x:c r="H2" s="98" t="str">
        <x:v>Not Started</x:v>
      </x:c>
      <x:c r="I2" s="99" t="str">
        <x:v>Avoid Amazon or third-party trademarks in the domain</x:v>
      </x:c>
    </x:row>
    <x:row r="3">
      <x:c r="A3" s="100" t="n">
        <x:v>2</x:v>
      </x:c>
      <x:c r="B3" s="95" t="str">
        <x:v>P0</x:v>
      </x:c>
      <x:c r="C3" s="95" t="str">
        <x:v>Repository</x:v>
      </x:c>
      <x:c r="D3" s="95" t="str">
        <x:v>Create Git repository and Next.js App Router project</x:v>
      </x:c>
      <x:c r="E3" s="95" t="str">
        <x:v>TypeScript project builds locally and deploys to Vercel preview</x:v>
      </x:c>
      <x:c r="F3" s="95" t="str">
        <x:v>Domain</x:v>
      </x:c>
      <x:c r="G3" s="95" t="str">
        <x:v>Developer</x:v>
      </x:c>
      <x:c r="H3" s="95" t="str">
        <x:v>Not Started</x:v>
      </x:c>
      <x:c r="I3" s="101" t="str">
        <x:v>Use current stable Next.js version</x:v>
      </x:c>
    </x:row>
    <x:row r="4">
      <x:c r="A4" s="100" t="n">
        <x:v>3</x:v>
      </x:c>
      <x:c r="B4" s="95" t="str">
        <x:v>P0</x:v>
      </x:c>
      <x:c r="C4" s="95" t="str">
        <x:v>Production hosting</x:v>
      </x:c>
      <x:c r="D4" s="95" t="str">
        <x:v>Connect apex and www to Vercel</x:v>
      </x:c>
      <x:c r="E4" s="95" t="str">
        <x:v>Single canonical hostname, HTTPS and redirects verified</x:v>
      </x:c>
      <x:c r="F4" s="95" t="str">
        <x:v>Repository</x:v>
      </x:c>
      <x:c r="G4" s="95" t="str">
        <x:v>Developer</x:v>
      </x:c>
      <x:c r="H4" s="95" t="str">
        <x:v>Not Started</x:v>
      </x:c>
      <x:c r="I4" s="101" t="str">
        <x:v>No accidental noindex</x:v>
      </x:c>
    </x:row>
    <x:row r="5">
      <x:c r="A5" s="100" t="n">
        <x:v>4</x:v>
      </x:c>
      <x:c r="B5" s="95" t="str">
        <x:v>P0</x:v>
      </x:c>
      <x:c r="C5" s="95" t="str">
        <x:v>Design system</x:v>
      </x:c>
      <x:c r="D5" s="95" t="str">
        <x:v>Implement reusable tokens and responsive layout</x:v>
      </x:c>
      <x:c r="E5" s="95" t="str">
        <x:v>Header, footer, typography, cards, tables and buttons work on mobile/desktop</x:v>
      </x:c>
      <x:c r="F5" s="95" t="str">
        <x:v>Repository</x:v>
      </x:c>
      <x:c r="G5" s="95" t="str">
        <x:v>Designer/Developer</x:v>
      </x:c>
      <x:c r="H5" s="95" t="str">
        <x:v>Not Started</x:v>
      </x:c>
      <x:c r="I5" s="101" t="str">
        <x:v>Conversion-focused but editorial, not ecommerce-clone design</x:v>
      </x:c>
    </x:row>
    <x:row r="6">
      <x:c r="A6" s="100" t="n">
        <x:v>5</x:v>
      </x:c>
      <x:c r="B6" s="95" t="str">
        <x:v>P0</x:v>
      </x:c>
      <x:c r="C6" s="95" t="str">
        <x:v>Trust pages</x:v>
      </x:c>
      <x:c r="D6" s="95" t="str">
        <x:v>Publish About, Contact, Editorial Policy and How We Test</x:v>
      </x:c>
      <x:c r="E6" s="95" t="str">
        <x:v>Author accountability, methodology and contact path visible</x:v>
      </x:c>
      <x:c r="F6" s="95" t="str">
        <x:v>Design system</x:v>
      </x:c>
      <x:c r="G6" s="95" t="str">
        <x:v>Content</x:v>
      </x:c>
      <x:c r="H6" s="95" t="str">
        <x:v>Not Started</x:v>
      </x:c>
      <x:c r="I6" s="101" t="str">
        <x:v>Critical for trust and review quality</x:v>
      </x:c>
    </x:row>
    <x:row r="7">
      <x:c r="A7" s="100" t="n">
        <x:v>6</x:v>
      </x:c>
      <x:c r="B7" s="95" t="str">
        <x:v>P0</x:v>
      </x:c>
      <x:c r="C7" s="95" t="str">
        <x:v>Legal/compliance</x:v>
      </x:c>
      <x:c r="D7" s="95" t="str">
        <x:v>Publish Privacy, Terms and Affiliate Disclosure</x:v>
      </x:c>
      <x:c r="E7" s="95" t="str">
        <x:v>Required disclosures are visible site-wide and near affiliate links</x:v>
      </x:c>
      <x:c r="F7" s="95" t="str">
        <x:v>Trust pages</x:v>
      </x:c>
      <x:c r="G7" s="95" t="str">
        <x:v>Founder/Legal</x:v>
      </x:c>
      <x:c r="H7" s="95" t="str">
        <x:v>Not Started</x:v>
      </x:c>
      <x:c r="I7" s="101" t="str">
        <x:v>Use legal review where needed</x:v>
      </x:c>
    </x:row>
    <x:row r="8">
      <x:c r="A8" s="100" t="n">
        <x:v>7</x:v>
      </x:c>
      <x:c r="B8" s="95" t="str">
        <x:v>P0</x:v>
      </x:c>
      <x:c r="C8" s="95" t="str">
        <x:v>SEO foundation</x:v>
      </x:c>
      <x:c r="D8" s="95" t="str">
        <x:v>Implement metadata, canonicals, sitemap, robots and breadcrumbs</x:v>
      </x:c>
      <x:c r="E8" s="95" t="str">
        <x:v>All public URLs crawlable and have unique metadata</x:v>
      </x:c>
      <x:c r="F8" s="95" t="str">
        <x:v>Production hosting</x:v>
      </x:c>
      <x:c r="G8" s="95" t="str">
        <x:v>Developer/SEO</x:v>
      </x:c>
      <x:c r="H8" s="95" t="str">
        <x:v>Not Started</x:v>
      </x:c>
      <x:c r="I8" s="101" t="str">
        <x:v>Clean URL policy; no duplicate trailing slash variants</x:v>
      </x:c>
    </x:row>
    <x:row r="9">
      <x:c r="A9" s="100" t="n">
        <x:v>8</x:v>
      </x:c>
      <x:c r="B9" s="95" t="str">
        <x:v>P0</x:v>
      </x:c>
      <x:c r="C9" s="95" t="str">
        <x:v>Analytics</x:v>
      </x:c>
      <x:c r="D9" s="95" t="str">
        <x:v>Configure GA4, GSC, Bing, Vercel Analytics and Speed Insights</x:v>
      </x:c>
      <x:c r="E9" s="95" t="str">
        <x:v>Traffic, affiliate click events and Core Web Vitals visible</x:v>
      </x:c>
      <x:c r="F9" s="95" t="str">
        <x:v>Production hosting</x:v>
      </x:c>
      <x:c r="G9" s="95" t="str">
        <x:v>SEO/Developer</x:v>
      </x:c>
      <x:c r="H9" s="95" t="str">
        <x:v>Not Started</x:v>
      </x:c>
      <x:c r="I9" s="101" t="str">
        <x:v>Define outbound Amazon click event</x:v>
      </x:c>
    </x:row>
    <x:row r="10">
      <x:c r="A10" s="100" t="n">
        <x:v>9</x:v>
      </x:c>
      <x:c r="B10" s="95" t="str">
        <x:v>P0</x:v>
      </x:c>
      <x:c r="C10" s="95" t="str">
        <x:v>Content system</x:v>
      </x:c>
      <x:c r="D10" s="95" t="str">
        <x:v>Build typed MDX/content schema</x:v>
      </x:c>
      <x:c r="E10" s="95" t="str">
        <x:v>Required frontmatter validates; drafts excluded from production</x:v>
      </x:c>
      <x:c r="F10" s="95" t="str">
        <x:v>Repository</x:v>
      </x:c>
      <x:c r="G10" s="95" t="str">
        <x:v>Developer</x:v>
      </x:c>
      <x:c r="H10" s="95" t="str">
        <x:v>Not Started</x:v>
      </x:c>
      <x:c r="I10" s="101" t="str">
        <x:v>Store product evaluation data separately from prose</x:v>
      </x:c>
    </x:row>
    <x:row r="11">
      <x:c r="A11" s="100" t="n">
        <x:v>10</x:v>
      </x:c>
      <x:c r="B11" s="95" t="str">
        <x:v>P0</x:v>
      </x:c>
      <x:c r="C11" s="95" t="str">
        <x:v>Affiliate components</x:v>
      </x:c>
      <x:c r="D11" s="95" t="str">
        <x:v>Build disclosure, CTA and tracking components</x:v>
      </x:c>
      <x:c r="E11" s="95" t="str">
        <x:v>Every affiliate link can be tagged, disclosed and event-tracked</x:v>
      </x:c>
      <x:c r="F11" s="95" t="str">
        <x:v>Content system</x:v>
      </x:c>
      <x:c r="G11" s="95" t="str">
        <x:v>Developer</x:v>
      </x:c>
      <x:c r="H11" s="95" t="str">
        <x:v>Not Started</x:v>
      </x:c>
      <x:c r="I11" s="101" t="str">
        <x:v>Default CTA: Check price on Amazon</x:v>
      </x:c>
    </x:row>
    <x:row r="12">
      <x:c r="A12" s="100" t="n">
        <x:v>11</x:v>
      </x:c>
      <x:c r="B12" s="95" t="str">
        <x:v>P1</x:v>
      </x:c>
      <x:c r="C12" s="95" t="str">
        <x:v>Keyword validation</x:v>
      </x:c>
      <x:c r="D12" s="95" t="str">
        <x:v>Validate P1 SERPs and product availability</x:v>
      </x:c>
      <x:c r="E12" s="95" t="str">
        <x:v>Intent, competition, current products and Amazon availability checked</x:v>
      </x:c>
      <x:c r="F12" s="95" t="str">
        <x:v>SEO foundation</x:v>
      </x:c>
      <x:c r="G12" s="95" t="str">
        <x:v>SEO</x:v>
      </x:c>
      <x:c r="H12" s="95" t="str">
        <x:v>Not Started</x:v>
      </x:c>
      <x:c r="I12" s="101" t="str">
        <x:v>Workbook ideas are a map, not a substitute for live SERP validation</x:v>
      </x:c>
    </x:row>
    <x:row r="13">
      <x:c r="A13" s="100" t="n">
        <x:v>12</x:v>
      </x:c>
      <x:c r="B13" s="95" t="str">
        <x:v>P1</x:v>
      </x:c>
      <x:c r="C13" s="95" t="str">
        <x:v>Core architecture</x:v>
      </x:c>
      <x:c r="D13" s="95" t="str">
        <x:v>Publish Air Fryer and Blender hubs</x:v>
      </x:c>
      <x:c r="E13" s="95" t="str">
        <x:v>Each hub links to commercial, reviews, comparisons and guides</x:v>
      </x:c>
      <x:c r="F13" s="95" t="str">
        <x:v>Content system</x:v>
      </x:c>
      <x:c r="G13" s="95" t="str">
        <x:v>Content</x:v>
      </x:c>
      <x:c r="H13" s="95" t="str">
        <x:v>Not Started</x:v>
      </x:c>
      <x:c r="I13" s="101" t="str">
        <x:v>Do not create empty category pages</x:v>
      </x:c>
    </x:row>
    <x:row r="14">
      <x:c r="A14" s="100" t="n">
        <x:v>13</x:v>
      </x:c>
      <x:c r="B14" s="95" t="str">
        <x:v>P1</x:v>
      </x:c>
      <x:c r="C14" s="95" t="str">
        <x:v>Money pages</x:v>
      </x:c>
      <x:c r="D14" s="95" t="str">
        <x:v>Publish P1 commercial pillar and long-tail roundups</x:v>
      </x:c>
      <x:c r="E14" s="95" t="str">
        <x:v>Original selection logic, comparison tables and strong verdicts included</x:v>
      </x:c>
      <x:c r="F14" s="95" t="str">
        <x:v>Keyword validation</x:v>
      </x:c>
      <x:c r="G14" s="95" t="str">
        <x:v>Content/Editor</x:v>
      </x:c>
      <x:c r="H14" s="95" t="str">
        <x:v>Not Started</x:v>
      </x:c>
      <x:c r="I14" s="101" t="str">
        <x:v>Prioritize lower-competition use cases</x:v>
      </x:c>
    </x:row>
    <x:row r="15">
      <x:c r="A15" s="100" t="n">
        <x:v>14</x:v>
      </x:c>
      <x:c r="B15" s="95" t="str">
        <x:v>P1</x:v>
      </x:c>
      <x:c r="C15" s="95" t="str">
        <x:v>Review depth</x:v>
      </x:c>
      <x:c r="D15" s="95" t="str">
        <x:v>Publish P1 comparisons and priority reviews</x:v>
      </x:c>
      <x:c r="E15" s="95" t="str">
        <x:v>Differences, evidence and alternatives are clear</x:v>
      </x:c>
      <x:c r="F15" s="95" t="str">
        <x:v>Money pages</x:v>
      </x:c>
      <x:c r="G15" s="95" t="str">
        <x:v>Content/Editor</x:v>
      </x:c>
      <x:c r="H15" s="95" t="str">
        <x:v>Not Started</x:v>
      </x:c>
      <x:c r="I15" s="101" t="str">
        <x:v>Validate exact model/ASIN before writing</x:v>
      </x:c>
    </x:row>
    <x:row r="16">
      <x:c r="A16" s="100" t="n">
        <x:v>15</x:v>
      </x:c>
      <x:c r="B16" s="95" t="str">
        <x:v>P1</x:v>
      </x:c>
      <x:c r="C16" s="95" t="str">
        <x:v>Application readiness</x:v>
      </x:c>
      <x:c r="D16" s="95" t="str">
        <x:v>Complete at least 10 substantial recent posts</x:v>
      </x:c>
      <x:c r="E16" s="95" t="str">
        <x:v>Site appears established and all compliance items pass QA</x:v>
      </x:c>
      <x:c r="F16" s="95" t="str">
        <x:v>Money pages</x:v>
      </x:c>
      <x:c r="G16" s="95" t="str">
        <x:v>Founder/Editor</x:v>
      </x:c>
      <x:c r="H16" s="95" t="str">
        <x:v>Not Started</x:v>
      </x:c>
      <x:c r="I16" s="101" t="str">
        <x:v>Do not use thin filler to reach a count</x:v>
      </x:c>
    </x:row>
    <x:row r="17">
      <x:c r="A17" s="100" t="n">
        <x:v>16</x:v>
      </x:c>
      <x:c r="B17" s="95" t="str">
        <x:v>P1</x:v>
      </x:c>
      <x:c r="C17" s="95" t="str">
        <x:v>Amazon application</x:v>
      </x:c>
      <x:c r="D17" s="95" t="str">
        <x:v>Apply to Amazon Associates US</x:v>
      </x:c>
      <x:c r="E17" s="95" t="str">
        <x:v>Website and profile information are complete and accurate</x:v>
      </x:c>
      <x:c r="F17" s="95" t="str">
        <x:v>Application readiness</x:v>
      </x:c>
      <x:c r="G17" s="95" t="str">
        <x:v>Founder</x:v>
      </x:c>
      <x:c r="H17" s="95" t="str">
        <x:v>Not Started</x:v>
      </x:c>
      <x:c r="I17" s="101" t="str">
        <x:v>Then achieve 3 qualifying sales within 180 days</x:v>
      </x:c>
    </x:row>
    <x:row r="18">
      <x:c r="A18" s="100" t="n">
        <x:v>17</x:v>
      </x:c>
      <x:c r="B18" s="95" t="str">
        <x:v>P1</x:v>
      </x:c>
      <x:c r="C18" s="95" t="str">
        <x:v>Affiliate rollout</x:v>
      </x:c>
      <x:c r="D18" s="95" t="str">
        <x:v>Add Special Links and proper disclosures</x:v>
      </x:c>
      <x:c r="E18" s="95" t="str">
        <x:v>Correct tag on all monetized CTAs; no self/friend purchases</x:v>
      </x:c>
      <x:c r="F18" s="95" t="str">
        <x:v>Amazon application</x:v>
      </x:c>
      <x:c r="G18" s="95" t="str">
        <x:v>Developer/SEO</x:v>
      </x:c>
      <x:c r="H18" s="95" t="str">
        <x:v>Not Started</x:v>
      </x:c>
      <x:c r="I18" s="101" t="str">
        <x:v>Use sub-tags by page type/cluster if available</x:v>
      </x:c>
    </x:row>
    <x:row r="19">
      <x:c r="A19" s="100" t="n">
        <x:v>18</x:v>
      </x:c>
      <x:c r="B19" s="95" t="str">
        <x:v>P2</x:v>
      </x:c>
      <x:c r="C19" s="95" t="str">
        <x:v>Topical authority</x:v>
      </x:c>
      <x:c r="D19" s="95" t="str">
        <x:v>Publish P2 comparisons, reviews, guides and support pages</x:v>
      </x:c>
      <x:c r="E19" s="95" t="str">
        <x:v>Air Fryer and Blender clusters answer major pre-purchase questions</x:v>
      </x:c>
      <x:c r="F19" s="95" t="str">
        <x:v>P1 coverage</x:v>
      </x:c>
      <x:c r="G19" s="95" t="str">
        <x:v>Content</x:v>
      </x:c>
      <x:c r="H19" s="95" t="str">
        <x:v>Not Started</x:v>
      </x:c>
      <x:c r="I19" s="101" t="str">
        <x:v>Refresh pages receiving impressions</x:v>
      </x:c>
    </x:row>
    <x:row r="20">
      <x:c r="A20" s="100" t="n">
        <x:v>19</x:v>
      </x:c>
      <x:c r="B20" s="95" t="str">
        <x:v>P2</x:v>
      </x:c>
      <x:c r="C20" s="95" t="str">
        <x:v>New categories</x:v>
      </x:c>
      <x:c r="D20" s="95" t="str">
        <x:v>Launch Electric Kettle and Toaster Oven clusters</x:v>
      </x:c>
      <x:c r="E20" s="95" t="str">
        <x:v>No orphan pages; both hubs have meaningful child content</x:v>
      </x:c>
      <x:c r="F20" s="95" t="str">
        <x:v>P1 coverage</x:v>
      </x:c>
      <x:c r="G20" s="95" t="str">
        <x:v>Content</x:v>
      </x:c>
      <x:c r="H20" s="95" t="str">
        <x:v>Not Started</x:v>
      </x:c>
      <x:c r="I20" s="101" t="str">
        <x:v>Start with high-intent long tails</x:v>
      </x:c>
    </x:row>
    <x:row r="21">
      <x:c r="A21" s="100" t="n">
        <x:v>20</x:v>
      </x:c>
      <x:c r="B21" s="95" t="str">
        <x:v>P2</x:v>
      </x:c>
      <x:c r="C21" s="95" t="str">
        <x:v>Conversion optimization</x:v>
      </x:c>
      <x:c r="D21" s="95" t="str">
        <x:v>Improve pages with impressions and affiliate clicks</x:v>
      </x:c>
      <x:c r="E21" s="95" t="str">
        <x:v>Titles, intro, tables, CTA placement and mobile UX tested</x:v>
      </x:c>
      <x:c r="F21" s="95" t="str">
        <x:v>Analytics data</x:v>
      </x:c>
      <x:c r="G21" s="95" t="str">
        <x:v>SEO/Developer</x:v>
      </x:c>
      <x:c r="H21" s="95" t="str">
        <x:v>Not Started</x:v>
      </x:c>
      <x:c r="I21" s="101" t="str">
        <x:v>Avoid aggressive popups</x:v>
      </x:c>
    </x:row>
    <x:row r="22">
      <x:c r="A22" s="100" t="n">
        <x:v>21</x:v>
      </x:c>
      <x:c r="B22" s="95" t="str">
        <x:v>P2</x:v>
      </x:c>
      <x:c r="C22" s="95" t="str">
        <x:v>Authority building</x:v>
      </x:c>
      <x:c r="D22" s="95" t="str">
        <x:v>Earn relevant mentions and links</x:v>
      </x:c>
      <x:c r="E22" s="95" t="str">
        <x:v>Original data, expert contributions and genuine outreach executed</x:v>
      </x:c>
      <x:c r="F22" s="95" t="str">
        <x:v>Strong content</x:v>
      </x:c>
      <x:c r="G22" s="95" t="str">
        <x:v>SEO</x:v>
      </x:c>
      <x:c r="H22" s="95" t="str">
        <x:v>Not Started</x:v>
      </x:c>
      <x:c r="I22" s="101" t="str">
        <x:v>No PBNs or paid link schemes</x:v>
      </x:c>
    </x:row>
    <x:row r="23">
      <x:c r="A23" s="100" t="n">
        <x:v>22</x:v>
      </x:c>
      <x:c r="B23" s="95" t="str">
        <x:v>P3</x:v>
      </x:c>
      <x:c r="C23" s="95" t="str">
        <x:v>Expansion</x:v>
      </x:c>
      <x:c r="D23" s="95" t="str">
        <x:v>Build Food Processor, Mini Chopper, Rice Cooker and Coffee Grinder clusters</x:v>
      </x:c>
      <x:c r="E23" s="95" t="str">
        <x:v>Each launched category has hub, pillar, guides and money pages</x:v>
      </x:c>
      <x:c r="F23" s="95" t="str">
        <x:v>P2 stability</x:v>
      </x:c>
      <x:c r="G23" s="95" t="str">
        <x:v>Content</x:v>
      </x:c>
      <x:c r="H23" s="95" t="str">
        <x:v>Not Started</x:v>
      </x:c>
      <x:c r="I23" s="101" t="str">
        <x:v>Use performance data to choose order</x:v>
      </x:c>
    </x:row>
    <x:row r="24">
      <x:c r="A24" s="100" t="n">
        <x:v>23</x:v>
      </x:c>
      <x:c r="B24" s="95" t="str">
        <x:v>P3</x:v>
      </x:c>
      <x:c r="C24" s="95" t="str">
        <x:v>Content refresh system</x:v>
      </x:c>
      <x:c r="D24" s="95" t="str">
        <x:v>Create refresh queue</x:v>
      </x:c>
      <x:c r="E24" s="95" t="str">
        <x:v>Price/product availability, broken links, specs and recommendations checked</x:v>
      </x:c>
      <x:c r="F24" s="95" t="str">
        <x:v>Published inventory</x:v>
      </x:c>
      <x:c r="G24" s="95" t="str">
        <x:v>Editor</x:v>
      </x:c>
      <x:c r="H24" s="95" t="str">
        <x:v>Not Started</x:v>
      </x:c>
      <x:c r="I24" s="101" t="str">
        <x:v>Show last reviewed/updated date</x:v>
      </x:c>
    </x:row>
    <x:row r="25">
      <x:c r="A25" s="102" t="n">
        <x:v>24</x:v>
      </x:c>
      <x:c r="B25" s="103" t="str">
        <x:v>P4</x:v>
      </x:c>
      <x:c r="C25" s="103" t="str">
        <x:v>Future validation</x:v>
      </x:c>
      <x:c r="D25" s="103" t="str">
        <x:v>Validate Waffle Maker and deep review backlog</x:v>
      </x:c>
      <x:c r="E25" s="103" t="str">
        <x:v>Only publish where SERP opportunity and product demand are confirmed</x:v>
      </x:c>
      <x:c r="F25" s="103" t="str">
        <x:v>P3 progress</x:v>
      </x:c>
      <x:c r="G25" s="103" t="str">
        <x:v>SEO</x:v>
      </x:c>
      <x:c r="H25" s="103" t="str">
        <x:v>Not Started</x:v>
      </x:c>
      <x:c r="I25" s="104" t="str">
        <x:v>Retire topics that no longer make commercial sense</x:v>
      </x:c>
    </x:row>
  </x:sheetData>
  <x:conditionalFormatting sqref="H2:H25">
    <x:cfRule type="expression" dxfId="0" priority="1">
      <x:formula>$H2="Published"</x:formula>
    </x:cfRule>
    <x:cfRule type="expression" dxfId="1" priority="2">
      <x:formula>$H2="Writing"</x:formula>
    </x:cfRule>
    <x:cfRule type="expression" dxfId="2" priority="3">
      <x:formula>$H2="Editing"</x:formula>
    </x:cfRule>
    <x:cfRule type="expression" dxfId="3" priority="4">
      <x:formula>$H2="Blocked"</x:formula>
    </x:cfRule>
  </x:conditionalFormatting>
  <x:dataValidations count="2">
    <x:dataValidation type="list" sqref="B2:B25">
      <x:formula1>"P0,P1,P2,P3,P4"</x:formula1>
    </x:dataValidation>
    <x:dataValidation type="list" sqref="H2:H25">
      <x:formula1>"Not Started,Brief Ready,Writing,Editing,Published,Refreshing,Blocked"</x:formula1>
    </x:dataValidation>
  </x:dataValidations>
  <x:pageMargins left="0.7" right="0.7" top="0.75" bottom="0.75" header="0.3" footer="0.3"/>
  <x:tableParts count="1">
    <x:tablePart xmlns:r="http://schemas.openxmlformats.org/officeDocument/2006/relationships" r:id="R737c97c306964718"/>
  </x:tableParts>
</x:worksheet>
</file>

<file path=xl/worksheets/sheet3.xml><?xml version="1.0" encoding="utf-8"?>
<x:worksheet xmlns:x="http://schemas.openxmlformats.org/spreadsheetml/2006/main">
  <x:sheetFormatPr defaultRowHeight="15"/>
  <x:cols>
    <x:col min="1" max="1" width="13" hidden="0" customWidth="1"/>
    <x:col min="2" max="2" width="35" hidden="0" customWidth="1"/>
    <x:col min="3" max="3" width="35" hidden="0" customWidth="1"/>
    <x:col min="4" max="4" width="18" hidden="0" customWidth="1"/>
    <x:col min="5" max="5" width="40" hidden="0" customWidth="1"/>
    <x:col min="6" max="6" width="44" hidden="0" customWidth="1"/>
    <x:col min="7" max="7" width="42" hidden="0" customWidth="1"/>
  </x:cols>
  <x:sheetData>
    <x:row r="1" ht="36" customHeight="1">
      <x:c r="A1" s="81" t="str">
        <x:v>Level</x:v>
      </x:c>
      <x:c r="B1" s="81" t="str">
        <x:v>Section / Route</x:v>
      </x:c>
      <x:c r="C1" s="81" t="str">
        <x:v>Purpose</x:v>
      </x:c>
      <x:c r="D1" s="81" t="str">
        <x:v>Indexing</x:v>
      </x:c>
      <x:c r="E1" s="81" t="str">
        <x:v>Primary Links</x:v>
      </x:c>
      <x:c r="F1" s="81" t="str">
        <x:v>Required Components</x:v>
      </x:c>
      <x:c r="G1" s="81" t="str">
        <x:v>Notes</x:v>
      </x:c>
    </x:row>
    <x:row r="2">
      <x:c r="A2" s="97" t="str">
        <x:v>Global</x:v>
      </x:c>
      <x:c r="B2" s="98" t="str">
        <x:v>/</x:v>
      </x:c>
      <x:c r="C2" s="98" t="str">
        <x:v>Homepage and brand trust landing page</x:v>
      </x:c>
      <x:c r="D2" s="98" t="str">
        <x:v>Index</x:v>
      </x:c>
      <x:c r="E2" s="98" t="str">
        <x:v>Top category hubs; methodology; latest/highest-priority picks</x:v>
      </x:c>
      <x:c r="F2" s="98" t="str">
        <x:v>Hero, category cards, methodology teaser, latest picks, author/trust strip</x:v>
      </x:c>
      <x:c r="G2" s="99" t="str">
        <x:v>Keep focused; do not list hundreds of links</x:v>
      </x:c>
    </x:row>
    <x:row r="3">
      <x:c r="A3" s="100" t="str">
        <x:v>Global</x:v>
      </x:c>
      <x:c r="B3" s="95" t="str">
        <x:v>/about/</x:v>
      </x:c>
      <x:c r="C3" s="95" t="str">
        <x:v>Brand and author accountability</x:v>
      </x:c>
      <x:c r="D3" s="95" t="str">
        <x:v>Index</x:v>
      </x:c>
      <x:c r="E3" s="95" t="str">
        <x:v>How We Test; Contact; Editorial Policy</x:v>
      </x:c>
      <x:c r="F3" s="95" t="str">
        <x:v>Author bios, experience, mission, correction policy</x:v>
      </x:c>
      <x:c r="G3" s="101" t="str">
        <x:v>Use real author profiles</x:v>
      </x:c>
    </x:row>
    <x:row r="4">
      <x:c r="A4" s="100" t="str">
        <x:v>Global</x:v>
      </x:c>
      <x:c r="B4" s="95" t="str">
        <x:v>/how-we-test/</x:v>
      </x:c>
      <x:c r="C4" s="95" t="str">
        <x:v>Editorial and product evaluation methodology</x:v>
      </x:c>
      <x:c r="D4" s="95" t="str">
        <x:v>Index</x:v>
      </x:c>
      <x:c r="E4" s="95" t="str">
        <x:v>All commercial/review pages</x:v>
      </x:c>
      <x:c r="F4" s="95" t="str">
        <x:v>Criteria tables, testing disclosure, scoring method</x:v>
      </x:c>
      <x:c r="G4" s="101" t="str">
        <x:v>Critical for review quality</x:v>
      </x:c>
    </x:row>
    <x:row r="5">
      <x:c r="A5" s="100" t="str">
        <x:v>Global</x:v>
      </x:c>
      <x:c r="B5" s="95" t="str">
        <x:v>/editorial-policy/</x:v>
      </x:c>
      <x:c r="C5" s="95" t="str">
        <x:v>Research, correction and update policy</x:v>
      </x:c>
      <x:c r="D5" s="95" t="str">
        <x:v>Index</x:v>
      </x:c>
      <x:c r="E5" s="95" t="str">
        <x:v>About; footer</x:v>
      </x:c>
      <x:c r="F5" s="95" t="str">
        <x:v>Fact-checking, AI-use disclosure, corrections</x:v>
      </x:c>
      <x:c r="G5" s="101" t="str">
        <x:v>Do not claim tests not performed</x:v>
      </x:c>
    </x:row>
    <x:row r="6">
      <x:c r="A6" s="100" t="str">
        <x:v>Global</x:v>
      </x:c>
      <x:c r="B6" s="95" t="str">
        <x:v>/affiliate-disclosure/</x:v>
      </x:c>
      <x:c r="C6" s="95" t="str">
        <x:v>Amazon and affiliate disclosure</x:v>
      </x:c>
      <x:c r="D6" s="95" t="str">
        <x:v>Index</x:v>
      </x:c>
      <x:c r="E6" s="95" t="str">
        <x:v>Footer and inline disclosures</x:v>
      </x:c>
      <x:c r="F6" s="95" t="str">
        <x:v>Required Amazon statement; general disclosure</x:v>
      </x:c>
      <x:c r="G6" s="101" t="str">
        <x:v>Inline disclosure also appears near links</x:v>
      </x:c>
    </x:row>
    <x:row r="7">
      <x:c r="A7" s="100" t="str">
        <x:v>Global</x:v>
      </x:c>
      <x:c r="B7" s="95" t="str">
        <x:v>/privacy/</x:v>
      </x:c>
      <x:c r="C7" s="95" t="str">
        <x:v>Privacy and cookies</x:v>
      </x:c>
      <x:c r="D7" s="95" t="str">
        <x:v>Index</x:v>
      </x:c>
      <x:c r="E7" s="95" t="str">
        <x:v>Footer</x:v>
      </x:c>
      <x:c r="F7" s="95" t="str">
        <x:v>Analytics, cookies, third parties</x:v>
      </x:c>
      <x:c r="G7" s="101" t="str">
        <x:v>Legal review recommended</x:v>
      </x:c>
    </x:row>
    <x:row r="8">
      <x:c r="A8" s="100" t="str">
        <x:v>Global</x:v>
      </x:c>
      <x:c r="B8" s="95" t="str">
        <x:v>/terms/</x:v>
      </x:c>
      <x:c r="C8" s="95" t="str">
        <x:v>Terms of use</x:v>
      </x:c>
      <x:c r="D8" s="95" t="str">
        <x:v>Index</x:v>
      </x:c>
      <x:c r="E8" s="95" t="str">
        <x:v>Footer</x:v>
      </x:c>
      <x:c r="F8" s="95" t="str">
        <x:v>Informational limitations</x:v>
      </x:c>
      <x:c r="G8" s="101" t="str">
        <x:v>Legal review recommended</x:v>
      </x:c>
    </x:row>
    <x:row r="9">
      <x:c r="A9" s="100" t="str">
        <x:v>Global</x:v>
      </x:c>
      <x:c r="B9" s="95" t="str">
        <x:v>/contact/</x:v>
      </x:c>
      <x:c r="C9" s="95" t="str">
        <x:v>Contact and corrections</x:v>
      </x:c>
      <x:c r="D9" s="95" t="str">
        <x:v>Index</x:v>
      </x:c>
      <x:c r="E9" s="95" t="str">
        <x:v>Footer; author pages</x:v>
      </x:c>
      <x:c r="F9" s="95" t="str">
        <x:v>Working form and email</x:v>
      </x:c>
      <x:c r="G9" s="101" t="str">
        <x:v>Add spam protection without blocking usability</x:v>
      </x:c>
    </x:row>
    <x:row r="10">
      <x:c r="A10" s="100" t="str">
        <x:v>Content</x:v>
      </x:c>
      <x:c r="B10" s="95" t="str">
        <x:v>/[category]/</x:v>
      </x:c>
      <x:c r="C10" s="95" t="str">
        <x:v>Category hub</x:v>
      </x:c>
      <x:c r="D10" s="95" t="str">
        <x:v>Index</x:v>
      </x:c>
      <x:c r="E10" s="95" t="str">
        <x:v>Commercial pillar; reviews; comparisons; guides</x:v>
      </x:c>
      <x:c r="F10" s="95" t="str">
        <x:v>Category intro, browse cards, latest updates</x:v>
      </x:c>
      <x:c r="G10" s="101" t="str">
        <x:v>Only publish once useful child content exists</x:v>
      </x:c>
    </x:row>
    <x:row r="11">
      <x:c r="A11" s="100" t="str">
        <x:v>Content</x:v>
      </x:c>
      <x:c r="B11" s="95" t="str">
        <x:v>/best-[category]/</x:v>
      </x:c>
      <x:c r="C11" s="95" t="str">
        <x:v>Primary commercial pillar</x:v>
      </x:c>
      <x:c r="D11" s="95" t="str">
        <x:v>Index</x:v>
      </x:c>
      <x:c r="E11" s="95" t="str">
        <x:v>Use-case roundups; reviews; buying guide</x:v>
      </x:c>
      <x:c r="F11" s="95" t="str">
        <x:v>Quick picks, comparison table, detailed evaluations</x:v>
      </x:c>
      <x:c r="G11" s="101" t="str">
        <x:v>Highest internal-link priority</x:v>
      </x:c>
    </x:row>
    <x:row r="12">
      <x:c r="A12" s="100" t="str">
        <x:v>Content</x:v>
      </x:c>
      <x:c r="B12" s="95" t="str">
        <x:v>/best-[product]-for-[use]/</x:v>
      </x:c>
      <x:c r="C12" s="95" t="str">
        <x:v>Long-tail roundup</x:v>
      </x:c>
      <x:c r="D12" s="95" t="str">
        <x:v>Index</x:v>
      </x:c>
      <x:c r="E12" s="95" t="str">
        <x:v>Pillar; relevant reviews; guide</x:v>
      </x:c>
      <x:c r="F12" s="95" t="str">
        <x:v>Decision table, ranked picks, use-case criteria</x:v>
      </x:c>
      <x:c r="G12" s="101" t="str">
        <x:v>Primary early traffic targets</x:v>
      </x:c>
    </x:row>
    <x:row r="13">
      <x:c r="A13" s="100" t="str">
        <x:v>Content</x:v>
      </x:c>
      <x:c r="B13" s="95" t="str">
        <x:v>/[product]-review/</x:v>
      </x:c>
      <x:c r="C13" s="95" t="str">
        <x:v>Single product review</x:v>
      </x:c>
      <x:c r="D13" s="95" t="str">
        <x:v>Index</x:v>
      </x:c>
      <x:c r="E13" s="95" t="str">
        <x:v>Commercial pillar; comparisons; alternatives</x:v>
      </x:c>
      <x:c r="F13" s="95" t="str">
        <x:v>Scorecard, specs, verdict, alternatives</x:v>
      </x:c>
      <x:c r="G13" s="101" t="str">
        <x:v>Validate exact current model and ASIN</x:v>
      </x:c>
    </x:row>
    <x:row r="14">
      <x:c r="A14" s="100" t="str">
        <x:v>Content</x:v>
      </x:c>
      <x:c r="B14" s="95" t="str">
        <x:v>/[brand]-vs-[brand]-[product]/</x:v>
      </x:c>
      <x:c r="C14" s="95" t="str">
        <x:v>Comparison</x:v>
      </x:c>
      <x:c r="D14" s="95" t="str">
        <x:v>Index</x:v>
      </x:c>
      <x:c r="E14" s="95" t="str">
        <x:v>Pillar; both reviews; guide</x:v>
      </x:c>
      <x:c r="F14" s="95" t="str">
        <x:v>Difference table, use-case winner</x:v>
      </x:c>
      <x:c r="G14" s="101" t="str">
        <x:v>Avoid duplicate overlapping comparisons</x:v>
      </x:c>
    </x:row>
    <x:row r="15">
      <x:c r="A15" s="100" t="str">
        <x:v>Content</x:v>
      </x:c>
      <x:c r="B15" s="95" t="str">
        <x:v>/[topic]-buying-guide/</x:v>
      </x:c>
      <x:c r="C15" s="95" t="str">
        <x:v>Buying guide</x:v>
      </x:c>
      <x:c r="D15" s="95" t="str">
        <x:v>Index</x:v>
      </x:c>
      <x:c r="E15" s="95" t="str">
        <x:v>Hubs and relevant commercial pages</x:v>
      </x:c>
      <x:c r="F15" s="95" t="str">
        <x:v>Decision tree, thresholds, mistakes</x:v>
      </x:c>
      <x:c r="G15" s="101" t="str">
        <x:v>Informational-to-commercial bridge</x:v>
      </x:c>
    </x:row>
    <x:row r="16">
      <x:c r="A16" s="100" t="str">
        <x:v>Content</x:v>
      </x:c>
      <x:c r="B16" s="95" t="str">
        <x:v>/how-to-[task]/</x:v>
      </x:c>
      <x:c r="C16" s="95" t="str">
        <x:v>How-to/support</x:v>
      </x:c>
      <x:c r="D16" s="95" t="str">
        <x:v>Index</x:v>
      </x:c>
      <x:c r="E16" s="95" t="str">
        <x:v>Relevant review/guide</x:v>
      </x:c>
      <x:c r="F16" s="95" t="str">
        <x:v>Steps, troubleshooting, safety</x:v>
      </x:c>
      <x:c r="G16" s="101" t="str">
        <x:v>Use HowTo schema only when eligible</x:v>
      </x:c>
    </x:row>
    <x:row r="17">
      <x:c r="A17" s="100" t="str">
        <x:v>System</x:v>
      </x:c>
      <x:c r="B17" s="95" t="str">
        <x:v>/sitemap.xml</x:v>
      </x:c>
      <x:c r="C17" s="95" t="str">
        <x:v>Machine-readable URL discovery</x:v>
      </x:c>
      <x:c r="D17" s="95" t="str">
        <x:v>Indexable file</x:v>
      </x:c>
      <x:c r="E17" s="95" t="str">
        <x:v>All public URLs</x:v>
      </x:c>
      <x:c r="F17" s="95" t="str">
        <x:v>Generated metadata route</x:v>
      </x:c>
      <x:c r="G17" s="101" t="str">
        <x:v>Accurate lastModified values</x:v>
      </x:c>
    </x:row>
    <x:row r="18">
      <x:c r="A18" s="100" t="str">
        <x:v>System</x:v>
      </x:c>
      <x:c r="B18" s="95" t="str">
        <x:v>/robots.txt</x:v>
      </x:c>
      <x:c r="C18" s="95" t="str">
        <x:v>Crawler access rules</x:v>
      </x:c>
      <x:c r="D18" s="95" t="str">
        <x:v>Public file</x:v>
      </x:c>
      <x:c r="E18" s="95" t="str">
        <x:v>Sitemap</x:v>
      </x:c>
      <x:c r="F18" s="95" t="str">
        <x:v>Generated metadata route</x:v>
      </x:c>
      <x:c r="G18" s="101" t="str">
        <x:v>Disallow only non-public paths</x:v>
      </x:c>
    </x:row>
    <x:row r="19">
      <x:c r="A19" s="100" t="str">
        <x:v>System</x:v>
      </x:c>
      <x:c r="B19" s="95" t="str">
        <x:v>/llms.txt</x:v>
      </x:c>
      <x:c r="C19" s="95" t="str">
        <x:v>Optional curated content map</x:v>
      </x:c>
      <x:c r="D19" s="95" t="str">
        <x:v>Public optional file</x:v>
      </x:c>
      <x:c r="E19" s="95" t="str">
        <x:v>Priority hubs and methodology</x:v>
      </x:c>
      <x:c r="F19" s="95" t="str">
        <x:v>Plain-text route handler</x:v>
      </x:c>
      <x:c r="G19" s="101" t="str">
        <x:v>Experimental; not a substitute for SEO</x:v>
      </x:c>
    </x:row>
    <x:row r="20">
      <x:c r="A20" s="100" t="str">
        <x:v>System</x:v>
      </x:c>
      <x:c r="B20" s="95" t="str">
        <x:v>/api/*</x:v>
      </x:c>
      <x:c r="C20" s="95" t="str">
        <x:v>Internal endpoints</x:v>
      </x:c>
      <x:c r="D20" s="95" t="str">
        <x:v>Noindex/disallow as appropriate</x:v>
      </x:c>
      <x:c r="E20" s="95" t="str">
        <x:v>None</x:v>
      </x:c>
      <x:c r="F20" s="95" t="str">
        <x:v>Secure route handlers</x:v>
      </x:c>
      <x:c r="G20" s="101" t="str">
        <x:v>Never expose secrets or Amazon credentials</x:v>
      </x:c>
    </x:row>
    <x:row r="21">
      <x:c r="A21" s="102" t="str">
        <x:v>System</x:v>
      </x:c>
      <x:c r="B21" s="103" t="str">
        <x:v>/preview/*</x:v>
      </x:c>
      <x:c r="C21" s="103" t="str">
        <x:v>Draft/preview routes</x:v>
      </x:c>
      <x:c r="D21" s="103" t="str">
        <x:v>Noindex/disallow</x:v>
      </x:c>
      <x:c r="E21" s="103" t="str">
        <x:v>None</x:v>
      </x:c>
      <x:c r="F21" s="103" t="str">
        <x:v>Draft Mode authentication</x:v>
      </x:c>
      <x:c r="G21" s="104" t="str">
        <x:v>Prevent accidental indexing</x:v>
      </x:c>
    </x:row>
  </x:sheetData>
  <x:pageMargins left="0.7" right="0.7" top="0.75" bottom="0.75" header="0.3" footer="0.3"/>
  <x:tableParts count="1">
    <x:tablePart xmlns:r="http://schemas.openxmlformats.org/officeDocument/2006/relationships" r:id="R5e740d75a13f49da"/>
  </x:tableParts>
</x:worksheet>
</file>

<file path=xl/worksheets/sheet4.xml><?xml version="1.0" encoding="utf-8"?>
<x:worksheet xmlns:x="http://schemas.openxmlformats.org/spreadsheetml/2006/main">
  <x:sheetFormatPr defaultRowHeight="15"/>
  <x:cols>
    <x:col min="1" max="1" width="12" hidden="0" customWidth="1"/>
    <x:col min="2" max="2" width="9" hidden="0" customWidth="1"/>
    <x:col min="3" max="3" width="18" hidden="0" customWidth="1"/>
    <x:col min="4" max="4" width="48" hidden="0" customWidth="1"/>
    <x:col min="5" max="5" width="34" hidden="0" customWidth="1"/>
    <x:col min="6" max="6" width="35" hidden="0" customWidth="1"/>
    <x:col min="7" max="7" width="25" hidden="0" customWidth="1"/>
    <x:col min="8" max="8" width="16" hidden="0" customWidth="1"/>
    <x:col min="9" max="9" width="18" hidden="0" customWidth="1"/>
    <x:col min="10" max="10" width="55" hidden="0" customWidth="1"/>
    <x:col min="11" max="11" width="15" hidden="0" customWidth="1"/>
  </x:cols>
  <x:sheetData>
    <x:row r="1" ht="36" customHeight="1">
      <x:c r="A1" s="81" t="str">
        <x:v>Pillar ID</x:v>
      </x:c>
      <x:c r="B1" s="81" t="str">
        <x:v>Priority</x:v>
      </x:c>
      <x:c r="C1" s="81" t="str">
        <x:v>Cluster</x:v>
      </x:c>
      <x:c r="D1" s="81" t="str">
        <x:v>Page Title</x:v>
      </x:c>
      <x:c r="E1" s="81" t="str">
        <x:v>Primary Keyword</x:v>
      </x:c>
      <x:c r="F1" s="81" t="str">
        <x:v>URL</x:v>
      </x:c>
      <x:c r="G1" s="81" t="str">
        <x:v>Role</x:v>
      </x:c>
      <x:c r="H1" s="81" t="str">
        <x:v>Supporting Page Count</x:v>
      </x:c>
      <x:c r="I1" s="81" t="str">
        <x:v>Must Link To</x:v>
      </x:c>
      <x:c r="J1" s="81" t="str">
        <x:v>Internal Linking Rule</x:v>
      </x:c>
      <x:c r="K1" s="81" t="str">
        <x:v>Status</x:v>
      </x:c>
    </x:row>
    <x:row r="2">
      <x:c r="A2" s="97" t="str">
        <x:v>AF-HUB</x:v>
      </x:c>
      <x:c r="B2" s="98" t="str">
        <x:v>P1</x:v>
      </x:c>
      <x:c r="C2" s="98" t="str">
        <x:v>Air Fryers</x:v>
      </x:c>
      <x:c r="D2" s="98" t="str">
        <x:v>Air Fryer Reviews, Comparisons and Buying Guides</x:v>
      </x:c>
      <x:c r="E2" s="98" t="str">
        <x:v>air fryer reviews and buying guides</x:v>
      </x:c>
      <x:c r="F2" s="98" t="str">
        <x:v>/air-fryers/</x:v>
      </x:c>
      <x:c r="G2" s="98" t="str">
        <x:v>Category hub</x:v>
      </x:c>
      <x:c r="H2" s="98" t="n">
        <x:v>44</x:v>
      </x:c>
      <x:c r="I2" s="98" t="str">
        <x:v>AF-PIL</x:v>
      </x:c>
      <x:c r="J2" s="98" t="str">
        <x:v>Links to every child page; child pages link back using natural descriptive anchors</x:v>
      </x:c>
      <x:c r="K2" s="99" t="str">
        <x:v>Not Started</x:v>
      </x:c>
    </x:row>
    <x:row r="3">
      <x:c r="A3" s="100" t="str">
        <x:v>AF-PIL</x:v>
      </x:c>
      <x:c r="B3" s="95" t="str">
        <x:v>P1</x:v>
      </x:c>
      <x:c r="C3" s="95" t="str">
        <x:v>Air Fryers</x:v>
      </x:c>
      <x:c r="D3" s="95" t="str">
        <x:v>Best Air Fryers for Every Kitchen and Budget</x:v>
      </x:c>
      <x:c r="E3" s="95" t="str">
        <x:v>best air fryers</x:v>
      </x:c>
      <x:c r="F3" s="95" t="str">
        <x:v>/best-air-fryers/</x:v>
      </x:c>
      <x:c r="G3" s="95" t="str">
        <x:v>Primary commercial pillar</x:v>
      </x:c>
      <x:c r="H3" s="95" t="n">
        <x:v>43</x:v>
      </x:c>
      <x:c r="I3" s="95" t="str">
        <x:v>AF-HUB</x:v>
      </x:c>
      <x:c r="J3" s="95" t="str">
        <x:v>Receives links from all category reviews, comparisons, roundups and guides; links to relevant child pages</x:v>
      </x:c>
      <x:c r="K3" s="101" t="str">
        <x:v>Not Started</x:v>
      </x:c>
    </x:row>
    <x:row r="4">
      <x:c r="A4" s="100" t="str">
        <x:v>BL-HUB</x:v>
      </x:c>
      <x:c r="B4" s="95" t="str">
        <x:v>P1</x:v>
      </x:c>
      <x:c r="C4" s="95" t="str">
        <x:v>Blenders</x:v>
      </x:c>
      <x:c r="D4" s="95" t="str">
        <x:v>Blender Reviews, Comparisons and Buying Guides</x:v>
      </x:c>
      <x:c r="E4" s="95" t="str">
        <x:v>blender reviews and buying guides</x:v>
      </x:c>
      <x:c r="F4" s="95" t="str">
        <x:v>/blenders/</x:v>
      </x:c>
      <x:c r="G4" s="95" t="str">
        <x:v>Category hub</x:v>
      </x:c>
      <x:c r="H4" s="95" t="n">
        <x:v>38</x:v>
      </x:c>
      <x:c r="I4" s="95" t="str">
        <x:v>BL-PIL</x:v>
      </x:c>
      <x:c r="J4" s="95" t="str">
        <x:v>Links to every child page; child pages link back using natural descriptive anchors</x:v>
      </x:c>
      <x:c r="K4" s="101" t="str">
        <x:v>Not Started</x:v>
      </x:c>
    </x:row>
    <x:row r="5">
      <x:c r="A5" s="100" t="str">
        <x:v>BL-PIL</x:v>
      </x:c>
      <x:c r="B5" s="95" t="str">
        <x:v>P1</x:v>
      </x:c>
      <x:c r="C5" s="95" t="str">
        <x:v>Blenders</x:v>
      </x:c>
      <x:c r="D5" s="95" t="str">
        <x:v>Best Blenders for Smoothies, Ice and Everyday Use</x:v>
      </x:c>
      <x:c r="E5" s="95" t="str">
        <x:v>best blenders</x:v>
      </x:c>
      <x:c r="F5" s="95" t="str">
        <x:v>/best-blenders/</x:v>
      </x:c>
      <x:c r="G5" s="95" t="str">
        <x:v>Primary commercial pillar</x:v>
      </x:c>
      <x:c r="H5" s="95" t="n">
        <x:v>37</x:v>
      </x:c>
      <x:c r="I5" s="95" t="str">
        <x:v>BL-HUB</x:v>
      </x:c>
      <x:c r="J5" s="95" t="str">
        <x:v>Receives links from all category reviews, comparisons, roundups and guides; links to relevant child pages</x:v>
      </x:c>
      <x:c r="K5" s="101" t="str">
        <x:v>Not Started</x:v>
      </x:c>
    </x:row>
    <x:row r="6">
      <x:c r="A6" s="100" t="str">
        <x:v>EK-HUB</x:v>
      </x:c>
      <x:c r="B6" s="95" t="str">
        <x:v>P2</x:v>
      </x:c>
      <x:c r="C6" s="95" t="str">
        <x:v>Electric Kettles</x:v>
      </x:c>
      <x:c r="D6" s="95" t="str">
        <x:v>Electric Kettle Reviews, Comparisons and Buying Guides</x:v>
      </x:c>
      <x:c r="E6" s="95" t="str">
        <x:v>electric kettle reviews and buying guides</x:v>
      </x:c>
      <x:c r="F6" s="95" t="str">
        <x:v>/electric-kettles/</x:v>
      </x:c>
      <x:c r="G6" s="95" t="str">
        <x:v>Category hub</x:v>
      </x:c>
      <x:c r="H6" s="95" t="n">
        <x:v>25</x:v>
      </x:c>
      <x:c r="I6" s="95" t="str">
        <x:v>EK-PIL</x:v>
      </x:c>
      <x:c r="J6" s="95" t="str">
        <x:v>Links to every child page; child pages link back using natural descriptive anchors</x:v>
      </x:c>
      <x:c r="K6" s="101" t="str">
        <x:v>Not Started</x:v>
      </x:c>
    </x:row>
    <x:row r="7">
      <x:c r="A7" s="100" t="str">
        <x:v>EK-PIL</x:v>
      </x:c>
      <x:c r="B7" s="95" t="str">
        <x:v>P2</x:v>
      </x:c>
      <x:c r="C7" s="95" t="str">
        <x:v>Electric Kettles</x:v>
      </x:c>
      <x:c r="D7" s="95" t="str">
        <x:v>Best Electric Kettles for Tea, Coffee and Fast Boiling</x:v>
      </x:c>
      <x:c r="E7" s="95" t="str">
        <x:v>best electric kettles</x:v>
      </x:c>
      <x:c r="F7" s="95" t="str">
        <x:v>/best-electric-kettles/</x:v>
      </x:c>
      <x:c r="G7" s="95" t="str">
        <x:v>Primary commercial pillar</x:v>
      </x:c>
      <x:c r="H7" s="95" t="n">
        <x:v>24</x:v>
      </x:c>
      <x:c r="I7" s="95" t="str">
        <x:v>EK-HUB</x:v>
      </x:c>
      <x:c r="J7" s="95" t="str">
        <x:v>Receives links from all category reviews, comparisons, roundups and guides; links to relevant child pages</x:v>
      </x:c>
      <x:c r="K7" s="101" t="str">
        <x:v>Not Started</x:v>
      </x:c>
    </x:row>
    <x:row r="8">
      <x:c r="A8" s="100" t="str">
        <x:v>TO-HUB</x:v>
      </x:c>
      <x:c r="B8" s="95" t="str">
        <x:v>P2</x:v>
      </x:c>
      <x:c r="C8" s="95" t="str">
        <x:v>Toaster Ovens</x:v>
      </x:c>
      <x:c r="D8" s="95" t="str">
        <x:v>Toaster Oven Reviews, Comparisons and Buying Guides</x:v>
      </x:c>
      <x:c r="E8" s="95" t="str">
        <x:v>toaster oven reviews and buying guides</x:v>
      </x:c>
      <x:c r="F8" s="95" t="str">
        <x:v>/toaster-ovens/</x:v>
      </x:c>
      <x:c r="G8" s="95" t="str">
        <x:v>Category hub</x:v>
      </x:c>
      <x:c r="H8" s="95" t="n">
        <x:v>21</x:v>
      </x:c>
      <x:c r="I8" s="95" t="str">
        <x:v>TO-PIL</x:v>
      </x:c>
      <x:c r="J8" s="95" t="str">
        <x:v>Links to every child page; child pages link back using natural descriptive anchors</x:v>
      </x:c>
      <x:c r="K8" s="101" t="str">
        <x:v>Not Started</x:v>
      </x:c>
    </x:row>
    <x:row r="9">
      <x:c r="A9" s="100" t="str">
        <x:v>TO-PIL</x:v>
      </x:c>
      <x:c r="B9" s="95" t="str">
        <x:v>P2</x:v>
      </x:c>
      <x:c r="C9" s="95" t="str">
        <x:v>Toaster Ovens</x:v>
      </x:c>
      <x:c r="D9" s="95" t="str">
        <x:v>Best Toaster Ovens for Toast, Baking and Everyday Meals</x:v>
      </x:c>
      <x:c r="E9" s="95" t="str">
        <x:v>best toaster ovens</x:v>
      </x:c>
      <x:c r="F9" s="95" t="str">
        <x:v>/best-toaster-ovens/</x:v>
      </x:c>
      <x:c r="G9" s="95" t="str">
        <x:v>Primary commercial pillar</x:v>
      </x:c>
      <x:c r="H9" s="95" t="n">
        <x:v>20</x:v>
      </x:c>
      <x:c r="I9" s="95" t="str">
        <x:v>TO-HUB</x:v>
      </x:c>
      <x:c r="J9" s="95" t="str">
        <x:v>Receives links from all category reviews, comparisons, roundups and guides; links to relevant child pages</x:v>
      </x:c>
      <x:c r="K9" s="101" t="str">
        <x:v>Not Started</x:v>
      </x:c>
    </x:row>
    <x:row r="10">
      <x:c r="A10" s="100" t="str">
        <x:v>FP-HUB</x:v>
      </x:c>
      <x:c r="B10" s="95" t="str">
        <x:v>P3</x:v>
      </x:c>
      <x:c r="C10" s="95" t="str">
        <x:v>Food Processors</x:v>
      </x:c>
      <x:c r="D10" s="95" t="str">
        <x:v>Food Processor Reviews, Comparisons and Buying Guides</x:v>
      </x:c>
      <x:c r="E10" s="95" t="str">
        <x:v>food processor reviews and buying guides</x:v>
      </x:c>
      <x:c r="F10" s="95" t="str">
        <x:v>/food-processors/</x:v>
      </x:c>
      <x:c r="G10" s="95" t="str">
        <x:v>Category hub</x:v>
      </x:c>
      <x:c r="H10" s="95" t="n">
        <x:v>22</x:v>
      </x:c>
      <x:c r="I10" s="95" t="str">
        <x:v>FP-PIL</x:v>
      </x:c>
      <x:c r="J10" s="95" t="str">
        <x:v>Links to every child page; child pages link back using natural descriptive anchors</x:v>
      </x:c>
      <x:c r="K10" s="101" t="str">
        <x:v>Not Started</x:v>
      </x:c>
    </x:row>
    <x:row r="11">
      <x:c r="A11" s="100" t="str">
        <x:v>FP-PIL</x:v>
      </x:c>
      <x:c r="B11" s="95" t="str">
        <x:v>P3</x:v>
      </x:c>
      <x:c r="C11" s="95" t="str">
        <x:v>Food Processors</x:v>
      </x:c>
      <x:c r="D11" s="95" t="str">
        <x:v>Best Food Processors for Chopping, Slicing and Dough</x:v>
      </x:c>
      <x:c r="E11" s="95" t="str">
        <x:v>best food processors</x:v>
      </x:c>
      <x:c r="F11" s="95" t="str">
        <x:v>/best-food-processors/</x:v>
      </x:c>
      <x:c r="G11" s="95" t="str">
        <x:v>Primary commercial pillar</x:v>
      </x:c>
      <x:c r="H11" s="95" t="n">
        <x:v>21</x:v>
      </x:c>
      <x:c r="I11" s="95" t="str">
        <x:v>FP-HUB</x:v>
      </x:c>
      <x:c r="J11" s="95" t="str">
        <x:v>Receives links from all category reviews, comparisons, roundups and guides; links to relevant child pages</x:v>
      </x:c>
      <x:c r="K11" s="101" t="str">
        <x:v>Not Started</x:v>
      </x:c>
    </x:row>
    <x:row r="12">
      <x:c r="A12" s="100" t="str">
        <x:v>MC-HUB</x:v>
      </x:c>
      <x:c r="B12" s="95" t="str">
        <x:v>P3</x:v>
      </x:c>
      <x:c r="C12" s="95" t="str">
        <x:v>Mini Choppers</x:v>
      </x:c>
      <x:c r="D12" s="95" t="str">
        <x:v>Mini Chopper Reviews, Comparisons and Buying Guides</x:v>
      </x:c>
      <x:c r="E12" s="95" t="str">
        <x:v>mini chopper reviews and buying guides</x:v>
      </x:c>
      <x:c r="F12" s="95" t="str">
        <x:v>/mini-choppers/</x:v>
      </x:c>
      <x:c r="G12" s="95" t="str">
        <x:v>Category hub</x:v>
      </x:c>
      <x:c r="H12" s="95" t="n">
        <x:v>13</x:v>
      </x:c>
      <x:c r="I12" s="95" t="str">
        <x:v>MC-PIL</x:v>
      </x:c>
      <x:c r="J12" s="95" t="str">
        <x:v>Links to every child page; child pages link back using natural descriptive anchors</x:v>
      </x:c>
      <x:c r="K12" s="101" t="str">
        <x:v>Not Started</x:v>
      </x:c>
    </x:row>
    <x:row r="13">
      <x:c r="A13" s="100" t="str">
        <x:v>MC-PIL</x:v>
      </x:c>
      <x:c r="B13" s="95" t="str">
        <x:v>P3</x:v>
      </x:c>
      <x:c r="C13" s="95" t="str">
        <x:v>Mini Choppers</x:v>
      </x:c>
      <x:c r="D13" s="95" t="str">
        <x:v>Best Mini Food Choppers for Quick Prep</x:v>
      </x:c>
      <x:c r="E13" s="95" t="str">
        <x:v>best mini food choppers</x:v>
      </x:c>
      <x:c r="F13" s="95" t="str">
        <x:v>/best-mini-food-choppers/</x:v>
      </x:c>
      <x:c r="G13" s="95" t="str">
        <x:v>Primary commercial pillar</x:v>
      </x:c>
      <x:c r="H13" s="95" t="n">
        <x:v>12</x:v>
      </x:c>
      <x:c r="I13" s="95" t="str">
        <x:v>MC-HUB</x:v>
      </x:c>
      <x:c r="J13" s="95" t="str">
        <x:v>Receives links from all category reviews, comparisons, roundups and guides; links to relevant child pages</x:v>
      </x:c>
      <x:c r="K13" s="101" t="str">
        <x:v>Not Started</x:v>
      </x:c>
    </x:row>
    <x:row r="14">
      <x:c r="A14" s="100" t="str">
        <x:v>RC-HUB</x:v>
      </x:c>
      <x:c r="B14" s="95" t="str">
        <x:v>P3</x:v>
      </x:c>
      <x:c r="C14" s="95" t="str">
        <x:v>Rice Cookers</x:v>
      </x:c>
      <x:c r="D14" s="95" t="str">
        <x:v>Rice Cooker Reviews, Comparisons and Buying Guides</x:v>
      </x:c>
      <x:c r="E14" s="95" t="str">
        <x:v>rice cooker reviews and buying guides</x:v>
      </x:c>
      <x:c r="F14" s="95" t="str">
        <x:v>/rice-cookers/</x:v>
      </x:c>
      <x:c r="G14" s="95" t="str">
        <x:v>Category hub</x:v>
      </x:c>
      <x:c r="H14" s="95" t="n">
        <x:v>16</x:v>
      </x:c>
      <x:c r="I14" s="95" t="str">
        <x:v>RC-PIL</x:v>
      </x:c>
      <x:c r="J14" s="95" t="str">
        <x:v>Links to every child page; child pages link back using natural descriptive anchors</x:v>
      </x:c>
      <x:c r="K14" s="101" t="str">
        <x:v>Not Started</x:v>
      </x:c>
    </x:row>
    <x:row r="15">
      <x:c r="A15" s="100" t="str">
        <x:v>RC-PIL</x:v>
      </x:c>
      <x:c r="B15" s="95" t="str">
        <x:v>P3</x:v>
      </x:c>
      <x:c r="C15" s="95" t="str">
        <x:v>Rice Cookers</x:v>
      </x:c>
      <x:c r="D15" s="95" t="str">
        <x:v>Best Rice Cookers for Small and Large Households</x:v>
      </x:c>
      <x:c r="E15" s="95" t="str">
        <x:v>best rice cookers</x:v>
      </x:c>
      <x:c r="F15" s="95" t="str">
        <x:v>/best-rice-cookers/</x:v>
      </x:c>
      <x:c r="G15" s="95" t="str">
        <x:v>Primary commercial pillar</x:v>
      </x:c>
      <x:c r="H15" s="95" t="n">
        <x:v>15</x:v>
      </x:c>
      <x:c r="I15" s="95" t="str">
        <x:v>RC-HUB</x:v>
      </x:c>
      <x:c r="J15" s="95" t="str">
        <x:v>Receives links from all category reviews, comparisons, roundups and guides; links to relevant child pages</x:v>
      </x:c>
      <x:c r="K15" s="101" t="str">
        <x:v>Not Started</x:v>
      </x:c>
    </x:row>
    <x:row r="16">
      <x:c r="A16" s="100" t="str">
        <x:v>CG-HUB</x:v>
      </x:c>
      <x:c r="B16" s="95" t="str">
        <x:v>P3</x:v>
      </x:c>
      <x:c r="C16" s="95" t="str">
        <x:v>Coffee Grinders</x:v>
      </x:c>
      <x:c r="D16" s="95" t="str">
        <x:v>Coffee Grinder Reviews, Comparisons and Buying Guides</x:v>
      </x:c>
      <x:c r="E16" s="95" t="str">
        <x:v>coffee grinder reviews and buying guides</x:v>
      </x:c>
      <x:c r="F16" s="95" t="str">
        <x:v>/coffee-grinders/</x:v>
      </x:c>
      <x:c r="G16" s="95" t="str">
        <x:v>Category hub</x:v>
      </x:c>
      <x:c r="H16" s="95" t="n">
        <x:v>18</x:v>
      </x:c>
      <x:c r="I16" s="95" t="str">
        <x:v>CG-PIL</x:v>
      </x:c>
      <x:c r="J16" s="95" t="str">
        <x:v>Links to every child page; child pages link back using natural descriptive anchors</x:v>
      </x:c>
      <x:c r="K16" s="101" t="str">
        <x:v>Not Started</x:v>
      </x:c>
    </x:row>
    <x:row r="17">
      <x:c r="A17" s="100" t="str">
        <x:v>CG-PIL</x:v>
      </x:c>
      <x:c r="B17" s="95" t="str">
        <x:v>P3</x:v>
      </x:c>
      <x:c r="C17" s="95" t="str">
        <x:v>Coffee Grinders</x:v>
      </x:c>
      <x:c r="D17" s="95" t="str">
        <x:v>Best Coffee Grinders for Drip, Espresso and Pour-Over</x:v>
      </x:c>
      <x:c r="E17" s="95" t="str">
        <x:v>best coffee grinders</x:v>
      </x:c>
      <x:c r="F17" s="95" t="str">
        <x:v>/best-coffee-grinders/</x:v>
      </x:c>
      <x:c r="G17" s="95" t="str">
        <x:v>Primary commercial pillar</x:v>
      </x:c>
      <x:c r="H17" s="95" t="n">
        <x:v>17</x:v>
      </x:c>
      <x:c r="I17" s="95" t="str">
        <x:v>CG-HUB</x:v>
      </x:c>
      <x:c r="J17" s="95" t="str">
        <x:v>Receives links from all category reviews, comparisons, roundups and guides; links to relevant child pages</x:v>
      </x:c>
      <x:c r="K17" s="101" t="str">
        <x:v>Not Started</x:v>
      </x:c>
    </x:row>
    <x:row r="18">
      <x:c r="A18" s="100" t="str">
        <x:v>WM-HUB</x:v>
      </x:c>
      <x:c r="B18" s="95" t="str">
        <x:v>P4</x:v>
      </x:c>
      <x:c r="C18" s="95" t="str">
        <x:v>Waffle Makers</x:v>
      </x:c>
      <x:c r="D18" s="95" t="str">
        <x:v>Waffle Maker Reviews, Comparisons and Buying Guides</x:v>
      </x:c>
      <x:c r="E18" s="95" t="str">
        <x:v>waffle maker reviews and buying guides</x:v>
      </x:c>
      <x:c r="F18" s="95" t="str">
        <x:v>/waffle-makers/</x:v>
      </x:c>
      <x:c r="G18" s="95" t="str">
        <x:v>Category hub</x:v>
      </x:c>
      <x:c r="H18" s="95" t="n">
        <x:v>12</x:v>
      </x:c>
      <x:c r="I18" s="95" t="str">
        <x:v>WM-PIL</x:v>
      </x:c>
      <x:c r="J18" s="95" t="str">
        <x:v>Links to every child page; child pages link back using natural descriptive anchors</x:v>
      </x:c>
      <x:c r="K18" s="101" t="str">
        <x:v>Not Started</x:v>
      </x:c>
    </x:row>
    <x:row r="19">
      <x:c r="A19" s="102" t="str">
        <x:v>WM-PIL</x:v>
      </x:c>
      <x:c r="B19" s="103" t="str">
        <x:v>P4</x:v>
      </x:c>
      <x:c r="C19" s="103" t="str">
        <x:v>Waffle Makers</x:v>
      </x:c>
      <x:c r="D19" s="103" t="str">
        <x:v>Best Waffle Makers for Belgian and Classic Waffles</x:v>
      </x:c>
      <x:c r="E19" s="103" t="str">
        <x:v>best waffle makers</x:v>
      </x:c>
      <x:c r="F19" s="103" t="str">
        <x:v>/best-waffle-makers/</x:v>
      </x:c>
      <x:c r="G19" s="103" t="str">
        <x:v>Primary commercial pillar</x:v>
      </x:c>
      <x:c r="H19" s="103" t="n">
        <x:v>11</x:v>
      </x:c>
      <x:c r="I19" s="103" t="str">
        <x:v>WM-HUB</x:v>
      </x:c>
      <x:c r="J19" s="103" t="str">
        <x:v>Receives links from all category reviews, comparisons, roundups and guides; links to relevant child pages</x:v>
      </x:c>
      <x:c r="K19" s="104" t="str">
        <x:v>Not Started</x:v>
      </x:c>
    </x:row>
  </x:sheetData>
  <x:conditionalFormatting sqref="K2:K19">
    <x:cfRule type="expression" dxfId="4" priority="1">
      <x:formula>$K2="Published"</x:formula>
    </x:cfRule>
    <x:cfRule type="expression" dxfId="5" priority="2">
      <x:formula>$K2="Writing"</x:formula>
    </x:cfRule>
    <x:cfRule type="expression" dxfId="6" priority="3">
      <x:formula>$K2="Editing"</x:formula>
    </x:cfRule>
    <x:cfRule type="expression" dxfId="7" priority="4">
      <x:formula>$K2="Blocked"</x:formula>
    </x:cfRule>
  </x:conditionalFormatting>
  <x:dataValidations count="2">
    <x:dataValidation type="list" sqref="B2:B19">
      <x:formula1>"P0,P1,P2,P3,P4"</x:formula1>
    </x:dataValidation>
    <x:dataValidation type="list" sqref="K2:K19">
      <x:formula1>"Not Started,Brief Ready,Writing,Editing,Published,Refreshing,Blocked"</x:formula1>
    </x:dataValidation>
  </x:dataValidations>
  <x:pageMargins left="0.7" right="0.7" top="0.75" bottom="0.75" header="0.3" footer="0.3"/>
  <x:tableParts count="1">
    <x:tablePart xmlns:r="http://schemas.openxmlformats.org/officeDocument/2006/relationships" r:id="Rf7e39a4400404743"/>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9" hidden="0" customWidth="1"/>
    <x:col min="4" max="4" width="18" hidden="0" customWidth="1"/>
    <x:col min="5" max="5" width="19" hidden="0" customWidth="1"/>
    <x:col min="6" max="6" width="14" hidden="0" customWidth="1"/>
    <x:col min="7" max="7" width="34" hidden="0" customWidth="1"/>
    <x:col min="8" max="8" width="22" hidden="0" customWidth="1"/>
    <x:col min="9" max="9" width="12" hidden="0" customWidth="1"/>
    <x:col min="10" max="10" width="48" hidden="0" customWidth="1"/>
    <x:col min="11" max="11" width="38" hidden="0" customWidth="1"/>
    <x:col min="12" max="12" width="34" hidden="0" customWidth="1"/>
    <x:col min="13" max="13" width="43" hidden="0" customWidth="1"/>
    <x:col min="14" max="14" width="16" hidden="0" customWidth="1"/>
    <x:col min="15" max="15" width="65" hidden="0" customWidth="1"/>
    <x:col min="16" max="16" width="15" hidden="0" customWidth="1"/>
  </x:cols>
  <x:sheetData>
    <x:row r="1" ht="36" customHeight="1">
      <x:c r="A1" s="81" t="str">
        <x:v>Execution Order</x:v>
      </x:c>
      <x:c r="B1" s="81" t="str">
        <x:v>Page ID</x:v>
      </x:c>
      <x:c r="C1" s="81" t="str">
        <x:v>Priority</x:v>
      </x:c>
      <x:c r="D1" s="81" t="str">
        <x:v>Cluster</x:v>
      </x:c>
      <x:c r="E1" s="81" t="str">
        <x:v>Page Type</x:v>
      </x:c>
      <x:c r="F1" s="81" t="str">
        <x:v>Parent Pillar</x:v>
      </x:c>
      <x:c r="G1" s="81" t="str">
        <x:v>Primary Keyword</x:v>
      </x:c>
      <x:c r="H1" s="81" t="str">
        <x:v>Search Intent</x:v>
      </x:c>
      <x:c r="I1" s="81" t="str">
        <x:v>Funnel</x:v>
      </x:c>
      <x:c r="J1" s="81" t="str">
        <x:v>H1 / Page Title</x:v>
      </x:c>
      <x:c r="K1" s="81" t="str">
        <x:v>Suggested URL</x:v>
      </x:c>
      <x:c r="L1" s="81" t="str">
        <x:v>Monetization</x:v>
      </x:c>
      <x:c r="M1" s="81" t="str">
        <x:v>Schema</x:v>
      </x:c>
      <x:c r="N1" s="81" t="str">
        <x:v>Target Length</x:v>
      </x:c>
      <x:c r="O1" s="81" t="str">
        <x:v>Unique Evidence Requirement</x:v>
      </x:c>
      <x:c r="P1" s="81" t="str">
        <x:v>Status</x:v>
      </x:c>
    </x:row>
    <x:row r="2">
      <x:c r="A2" s="97" t="n">
        <x:v>1</x:v>
      </x:c>
      <x:c r="B2" s="98" t="str">
        <x:v>AF-HUB</x:v>
      </x:c>
      <x:c r="C2" s="98" t="str">
        <x:v>P1</x:v>
      </x:c>
      <x:c r="D2" s="98" t="str">
        <x:v>Air Fryers</x:v>
      </x:c>
      <x:c r="E2" s="98" t="str">
        <x:v>Category Hub</x:v>
      </x:c>
      <x:c r="F2" s="98" t="str"/>
      <x:c r="G2" s="98" t="str">
        <x:v>air fryer reviews and buying guides</x:v>
      </x:c>
      <x:c r="H2" s="98" t="str">
        <x:v>Mixed</x:v>
      </x:c>
      <x:c r="I2" s="98" t="str">
        <x:v>MOFU</x:v>
      </x:c>
      <x:c r="J2" s="98" t="str">
        <x:v>Air Fryer Reviews, Comparisons and Buying Guides</x:v>
      </x:c>
      <x:c r="K2" s="98" t="str">
        <x:v>/air-fryers/</x:v>
      </x:c>
      <x:c r="L2" s="98" t="str">
        <x:v>Indirect — distribute users to money pages</x:v>
      </x:c>
      <x:c r="M2" s="98" t="str">
        <x:v>CollectionPage + ItemList + BreadcrumbList</x:v>
      </x:c>
      <x:c r="N2" s="98" t="str">
        <x:v>1,500–2,200</x:v>
      </x:c>
      <x:c r="O2" s="98" t="str">
        <x:v>Original editorial context, source validation and clear author accountability.</x:v>
      </x:c>
      <x:c r="P2" s="99" t="str">
        <x:v>Not Started</x:v>
      </x:c>
    </x:row>
    <x:row r="3">
      <x:c r="A3" s="100" t="n">
        <x:v>2</x:v>
      </x:c>
      <x:c r="B3" s="95" t="str">
        <x:v>BL-HUB</x:v>
      </x:c>
      <x:c r="C3" s="95" t="str">
        <x:v>P1</x:v>
      </x:c>
      <x:c r="D3" s="95" t="str">
        <x:v>Blenders</x:v>
      </x:c>
      <x:c r="E3" s="95" t="str">
        <x:v>Category Hub</x:v>
      </x:c>
      <x:c r="F3" s="95" t="str"/>
      <x:c r="G3" s="95" t="str">
        <x:v>blender reviews and buying guides</x:v>
      </x:c>
      <x:c r="H3" s="95" t="str">
        <x:v>Mixed</x:v>
      </x:c>
      <x:c r="I3" s="95" t="str">
        <x:v>MOFU</x:v>
      </x:c>
      <x:c r="J3" s="95" t="str">
        <x:v>Blender Reviews, Comparisons and Buying Guides</x:v>
      </x:c>
      <x:c r="K3" s="95" t="str">
        <x:v>/blenders/</x:v>
      </x:c>
      <x:c r="L3" s="95" t="str">
        <x:v>Indirect — distribute users to money pages</x:v>
      </x:c>
      <x:c r="M3" s="95" t="str">
        <x:v>CollectionPage + ItemList + BreadcrumbList</x:v>
      </x:c>
      <x:c r="N3" s="95" t="str">
        <x:v>1,500–2,200</x:v>
      </x:c>
      <x:c r="O3" s="95" t="str">
        <x:v>Original editorial context, source validation and clear author accountability.</x:v>
      </x:c>
      <x:c r="P3" s="101" t="str">
        <x:v>Not Started</x:v>
      </x:c>
    </x:row>
    <x:row r="4">
      <x:c r="A4" s="100" t="n">
        <x:v>3</x:v>
      </x:c>
      <x:c r="B4" s="95" t="str">
        <x:v>AF-PIL</x:v>
      </x:c>
      <x:c r="C4" s="95" t="str">
        <x:v>P1</x:v>
      </x:c>
      <x:c r="D4" s="95" t="str">
        <x:v>Air Fryers</x:v>
      </x:c>
      <x:c r="E4" s="95" t="str">
        <x:v>Commercial Pillar</x:v>
      </x:c>
      <x:c r="F4" s="95" t="str">
        <x:v>AF-HUB</x:v>
      </x:c>
      <x:c r="G4" s="95" t="str">
        <x:v>best air fryers</x:v>
      </x:c>
      <x:c r="H4" s="95" t="str">
        <x:v>Commercial Investigation</x:v>
      </x:c>
      <x:c r="I4" s="95" t="str">
        <x:v>BOFU</x:v>
      </x:c>
      <x:c r="J4" s="95" t="str">
        <x:v>Best Air Fryers for Every Kitchen and Budget</x:v>
      </x:c>
      <x:c r="K4" s="95" t="str">
        <x:v>/best-air-fryers/</x:v>
      </x:c>
      <x:c r="L4" s="95" t="str">
        <x:v>High — product table + contextual CTAs</x:v>
      </x:c>
      <x:c r="M4" s="95" t="str">
        <x:v>Article + ItemList + BreadcrumbList</x:v>
      </x:c>
      <x:c r="N4" s="95" t="str">
        <x:v>3,000–4,500</x:v>
      </x:c>
      <x:c r="O4" s="95" t="str">
        <x:v>Original selection methodology; spec verification; decision criteria; custom comparison table; explain exclusions; ideally hands-on notes or documented research.</x:v>
      </x:c>
      <x:c r="P4" s="101" t="str">
        <x:v>Not Started</x:v>
      </x:c>
    </x:row>
    <x:row r="5">
      <x:c r="A5" s="100" t="n">
        <x:v>4</x:v>
      </x:c>
      <x:c r="B5" s="95" t="str">
        <x:v>BL-PIL</x:v>
      </x:c>
      <x:c r="C5" s="95" t="str">
        <x:v>P1</x:v>
      </x:c>
      <x:c r="D5" s="95" t="str">
        <x:v>Blenders</x:v>
      </x:c>
      <x:c r="E5" s="95" t="str">
        <x:v>Commercial Pillar</x:v>
      </x:c>
      <x:c r="F5" s="95" t="str">
        <x:v>BL-HUB</x:v>
      </x:c>
      <x:c r="G5" s="95" t="str">
        <x:v>best blenders</x:v>
      </x:c>
      <x:c r="H5" s="95" t="str">
        <x:v>Commercial Investigation</x:v>
      </x:c>
      <x:c r="I5" s="95" t="str">
        <x:v>BOFU</x:v>
      </x:c>
      <x:c r="J5" s="95" t="str">
        <x:v>Best Blenders for Smoothies, Ice and Everyday Use</x:v>
      </x:c>
      <x:c r="K5" s="95" t="str">
        <x:v>/best-blenders/</x:v>
      </x:c>
      <x:c r="L5" s="95" t="str">
        <x:v>High — product table + contextual CTAs</x:v>
      </x:c>
      <x:c r="M5" s="95" t="str">
        <x:v>Article + ItemList + BreadcrumbList</x:v>
      </x:c>
      <x:c r="N5" s="95" t="str">
        <x:v>3,000–4,500</x:v>
      </x:c>
      <x:c r="O5" s="95" t="str">
        <x:v>Original selection methodology; spec verification; decision criteria; custom comparison table; explain exclusions; ideally hands-on notes or documented research.</x:v>
      </x:c>
      <x:c r="P5" s="101" t="str">
        <x:v>Not Started</x:v>
      </x:c>
    </x:row>
    <x:row r="6">
      <x:c r="A6" s="100" t="n">
        <x:v>5</x:v>
      </x:c>
      <x:c r="B6" s="95" t="str">
        <x:v>AF-R01</x:v>
      </x:c>
      <x:c r="C6" s="95" t="str">
        <x:v>P1</x:v>
      </x:c>
      <x:c r="D6" s="95" t="str">
        <x:v>Air Fryers</x:v>
      </x:c>
      <x:c r="E6" s="95" t="str">
        <x:v>Roundup</x:v>
      </x:c>
      <x:c r="F6" s="95" t="str">
        <x:v>AF-PIL</x:v>
      </x:c>
      <x:c r="G6" s="95" t="str">
        <x:v>best air fryer under $100</x:v>
      </x:c>
      <x:c r="H6" s="95" t="str">
        <x:v>Commercial Investigation</x:v>
      </x:c>
      <x:c r="I6" s="95" t="str">
        <x:v>BOFU</x:v>
      </x:c>
      <x:c r="J6" s="95" t="str">
        <x:v>Best Air Fryers Under $100</x:v>
      </x:c>
      <x:c r="K6" s="95" t="str">
        <x:v>/best-air-fryer-under-100/</x:v>
      </x:c>
      <x:c r="L6" s="95" t="str">
        <x:v>High — product table + contextual CTAs</x:v>
      </x:c>
      <x:c r="M6" s="95" t="str">
        <x:v>Article + ItemList + BreadcrumbList</x:v>
      </x:c>
      <x:c r="N6" s="95" t="str">
        <x:v>2,500–4,000</x:v>
      </x:c>
      <x:c r="O6" s="95" t="str">
        <x:v>Original selection methodology; spec verification; decision criteria; custom comparison table; explain exclusions; ideally hands-on notes or documented research.</x:v>
      </x:c>
      <x:c r="P6" s="101" t="str">
        <x:v>Not Started</x:v>
      </x:c>
    </x:row>
    <x:row r="7">
      <x:c r="A7" s="100" t="n">
        <x:v>6</x:v>
      </x:c>
      <x:c r="B7" s="95" t="str">
        <x:v>AF-R02</x:v>
      </x:c>
      <x:c r="C7" s="95" t="str">
        <x:v>P1</x:v>
      </x:c>
      <x:c r="D7" s="95" t="str">
        <x:v>Air Fryers</x:v>
      </x:c>
      <x:c r="E7" s="95" t="str">
        <x:v>Roundup</x:v>
      </x:c>
      <x:c r="F7" s="95" t="str">
        <x:v>AF-PIL</x:v>
      </x:c>
      <x:c r="G7" s="95" t="str">
        <x:v>best air fryer under $150</x:v>
      </x:c>
      <x:c r="H7" s="95" t="str">
        <x:v>Commercial Investigation</x:v>
      </x:c>
      <x:c r="I7" s="95" t="str">
        <x:v>BOFU</x:v>
      </x:c>
      <x:c r="J7" s="95" t="str">
        <x:v>Best Air Fryers Under $150</x:v>
      </x:c>
      <x:c r="K7" s="95" t="str">
        <x:v>/best-air-fryer-under-150/</x:v>
      </x:c>
      <x:c r="L7" s="95" t="str">
        <x:v>High — product table + contextual CTAs</x:v>
      </x:c>
      <x:c r="M7" s="95" t="str">
        <x:v>Article + ItemList + BreadcrumbList</x:v>
      </x:c>
      <x:c r="N7" s="95" t="str">
        <x:v>2,500–4,000</x:v>
      </x:c>
      <x:c r="O7" s="95" t="str">
        <x:v>Original selection methodology; spec verification; decision criteria; custom comparison table; explain exclusions; ideally hands-on notes or documented research.</x:v>
      </x:c>
      <x:c r="P7" s="101" t="str">
        <x:v>Not Started</x:v>
      </x:c>
    </x:row>
    <x:row r="8">
      <x:c r="A8" s="100" t="n">
        <x:v>7</x:v>
      </x:c>
      <x:c r="B8" s="95" t="str">
        <x:v>AF-R03</x:v>
      </x:c>
      <x:c r="C8" s="95" t="str">
        <x:v>P1</x:v>
      </x:c>
      <x:c r="D8" s="95" t="str">
        <x:v>Air Fryers</x:v>
      </x:c>
      <x:c r="E8" s="95" t="str">
        <x:v>Roundup</x:v>
      </x:c>
      <x:c r="F8" s="95" t="str">
        <x:v>AF-PIL</x:v>
      </x:c>
      <x:c r="G8" s="95" t="str">
        <x:v>best air fryer for one person</x:v>
      </x:c>
      <x:c r="H8" s="95" t="str">
        <x:v>Commercial Investigation</x:v>
      </x:c>
      <x:c r="I8" s="95" t="str">
        <x:v>BOFU</x:v>
      </x:c>
      <x:c r="J8" s="95" t="str">
        <x:v>Best Air Fryer for One Person</x:v>
      </x:c>
      <x:c r="K8" s="95" t="str">
        <x:v>/best-air-fryer-for-one-person/</x:v>
      </x:c>
      <x:c r="L8" s="95" t="str">
        <x:v>High — product table + contextual CTAs</x:v>
      </x:c>
      <x:c r="M8" s="95" t="str">
        <x:v>Article + ItemList + BreadcrumbList</x:v>
      </x:c>
      <x:c r="N8" s="95" t="str">
        <x:v>2,500–4,000</x:v>
      </x:c>
      <x:c r="O8" s="95" t="str">
        <x:v>Original selection methodology; spec verification; decision criteria; custom comparison table; explain exclusions; ideally hands-on notes or documented research.</x:v>
      </x:c>
      <x:c r="P8" s="101" t="str">
        <x:v>Not Started</x:v>
      </x:c>
    </x:row>
    <x:row r="9">
      <x:c r="A9" s="100" t="n">
        <x:v>8</x:v>
      </x:c>
      <x:c r="B9" s="95" t="str">
        <x:v>AF-R04</x:v>
      </x:c>
      <x:c r="C9" s="95" t="str">
        <x:v>P1</x:v>
      </x:c>
      <x:c r="D9" s="95" t="str">
        <x:v>Air Fryers</x:v>
      </x:c>
      <x:c r="E9" s="95" t="str">
        <x:v>Roundup</x:v>
      </x:c>
      <x:c r="F9" s="95" t="str">
        <x:v>AF-PIL</x:v>
      </x:c>
      <x:c r="G9" s="95" t="str">
        <x:v>best air fryer for 2 people</x:v>
      </x:c>
      <x:c r="H9" s="95" t="str">
        <x:v>Commercial Investigation</x:v>
      </x:c>
      <x:c r="I9" s="95" t="str">
        <x:v>BOFU</x:v>
      </x:c>
      <x:c r="J9" s="95" t="str">
        <x:v>Best Air Fryer for 2 People</x:v>
      </x:c>
      <x:c r="K9" s="95" t="str">
        <x:v>/best-air-fryer-for-2-people/</x:v>
      </x:c>
      <x:c r="L9" s="95" t="str">
        <x:v>High — product table + contextual CTAs</x:v>
      </x:c>
      <x:c r="M9" s="95" t="str">
        <x:v>Article + ItemList + BreadcrumbList</x:v>
      </x:c>
      <x:c r="N9" s="95" t="str">
        <x:v>2,500–4,000</x:v>
      </x:c>
      <x:c r="O9" s="95" t="str">
        <x:v>Original selection methodology; spec verification; decision criteria; custom comparison table; explain exclusions; ideally hands-on notes or documented research.</x:v>
      </x:c>
      <x:c r="P9" s="101" t="str">
        <x:v>Not Started</x:v>
      </x:c>
    </x:row>
    <x:row r="10">
      <x:c r="A10" s="100" t="n">
        <x:v>9</x:v>
      </x:c>
      <x:c r="B10" s="95" t="str">
        <x:v>AF-R05</x:v>
      </x:c>
      <x:c r="C10" s="95" t="str">
        <x:v>P1</x:v>
      </x:c>
      <x:c r="D10" s="95" t="str">
        <x:v>Air Fryers</x:v>
      </x:c>
      <x:c r="E10" s="95" t="str">
        <x:v>Roundup</x:v>
      </x:c>
      <x:c r="F10" s="95" t="str">
        <x:v>AF-PIL</x:v>
      </x:c>
      <x:c r="G10" s="95" t="str">
        <x:v>best air fryer for family of 4</x:v>
      </x:c>
      <x:c r="H10" s="95" t="str">
        <x:v>Commercial Investigation</x:v>
      </x:c>
      <x:c r="I10" s="95" t="str">
        <x:v>BOFU</x:v>
      </x:c>
      <x:c r="J10" s="95" t="str">
        <x:v>Best Air Fryer for a Family of 4</x:v>
      </x:c>
      <x:c r="K10" s="95" t="str">
        <x:v>/best-air-fryer-for-family-of-4/</x:v>
      </x:c>
      <x:c r="L10" s="95" t="str">
        <x:v>High — product table + contextual CTAs</x:v>
      </x:c>
      <x:c r="M10" s="95" t="str">
        <x:v>Article + ItemList + BreadcrumbList</x:v>
      </x:c>
      <x:c r="N10" s="95" t="str">
        <x:v>2,500–4,000</x:v>
      </x:c>
      <x:c r="O10" s="95" t="str">
        <x:v>Original selection methodology; spec verification; decision criteria; custom comparison table; explain exclusions; ideally hands-on notes or documented research.</x:v>
      </x:c>
      <x:c r="P10" s="101" t="str">
        <x:v>Not Started</x:v>
      </x:c>
    </x:row>
    <x:row r="11">
      <x:c r="A11" s="100" t="n">
        <x:v>10</x:v>
      </x:c>
      <x:c r="B11" s="95" t="str">
        <x:v>AF-R06</x:v>
      </x:c>
      <x:c r="C11" s="95" t="str">
        <x:v>P1</x:v>
      </x:c>
      <x:c r="D11" s="95" t="str">
        <x:v>Air Fryers</x:v>
      </x:c>
      <x:c r="E11" s="95" t="str">
        <x:v>Roundup</x:v>
      </x:c>
      <x:c r="F11" s="95" t="str">
        <x:v>AF-PIL</x:v>
      </x:c>
      <x:c r="G11" s="95" t="str">
        <x:v>best large air fryer for family</x:v>
      </x:c>
      <x:c r="H11" s="95" t="str">
        <x:v>Commercial Investigation</x:v>
      </x:c>
      <x:c r="I11" s="95" t="str">
        <x:v>BOFU</x:v>
      </x:c>
      <x:c r="J11" s="95" t="str">
        <x:v>Best Large Air Fryers for Big Families</x:v>
      </x:c>
      <x:c r="K11" s="95" t="str">
        <x:v>/best-large-air-fryer-for-family/</x:v>
      </x:c>
      <x:c r="L11" s="95" t="str">
        <x:v>High — product table + contextual CTAs</x:v>
      </x:c>
      <x:c r="M11" s="95" t="str">
        <x:v>Article + ItemList + BreadcrumbList</x:v>
      </x:c>
      <x:c r="N11" s="95" t="str">
        <x:v>2,500–4,000</x:v>
      </x:c>
      <x:c r="O11" s="95" t="str">
        <x:v>Original selection methodology; spec verification; decision criteria; custom comparison table; explain exclusions; ideally hands-on notes or documented research.</x:v>
      </x:c>
      <x:c r="P11" s="101" t="str">
        <x:v>Not Started</x:v>
      </x:c>
    </x:row>
    <x:row r="12">
      <x:c r="A12" s="100" t="n">
        <x:v>11</x:v>
      </x:c>
      <x:c r="B12" s="95" t="str">
        <x:v>AF-R07</x:v>
      </x:c>
      <x:c r="C12" s="95" t="str">
        <x:v>P1</x:v>
      </x:c>
      <x:c r="D12" s="95" t="str">
        <x:v>Air Fryers</x:v>
      </x:c>
      <x:c r="E12" s="95" t="str">
        <x:v>Roundup</x:v>
      </x:c>
      <x:c r="F12" s="95" t="str">
        <x:v>AF-PIL</x:v>
      </x:c>
      <x:c r="G12" s="95" t="str">
        <x:v>best compact air fryer</x:v>
      </x:c>
      <x:c r="H12" s="95" t="str">
        <x:v>Commercial Investigation</x:v>
      </x:c>
      <x:c r="I12" s="95" t="str">
        <x:v>BOFU</x:v>
      </x:c>
      <x:c r="J12" s="95" t="str">
        <x:v>Best Compact Air Fryers for Small Kitchens</x:v>
      </x:c>
      <x:c r="K12" s="95" t="str">
        <x:v>/best-compact-air-fryer/</x:v>
      </x:c>
      <x:c r="L12" s="95" t="str">
        <x:v>High — product table + contextual CTAs</x:v>
      </x:c>
      <x:c r="M12" s="95" t="str">
        <x:v>Article + ItemList + BreadcrumbList</x:v>
      </x:c>
      <x:c r="N12" s="95" t="str">
        <x:v>2,500–4,000</x:v>
      </x:c>
      <x:c r="O12" s="95" t="str">
        <x:v>Original selection methodology; spec verification; decision criteria; custom comparison table; explain exclusions; ideally hands-on notes or documented research.</x:v>
      </x:c>
      <x:c r="P12" s="101" t="str">
        <x:v>Not Started</x:v>
      </x:c>
    </x:row>
    <x:row r="13">
      <x:c r="A13" s="100" t="n">
        <x:v>12</x:v>
      </x:c>
      <x:c r="B13" s="95" t="str">
        <x:v>AF-R11</x:v>
      </x:c>
      <x:c r="C13" s="95" t="str">
        <x:v>P1</x:v>
      </x:c>
      <x:c r="D13" s="95" t="str">
        <x:v>Air Fryers</x:v>
      </x:c>
      <x:c r="E13" s="95" t="str">
        <x:v>Roundup</x:v>
      </x:c>
      <x:c r="F13" s="95" t="str">
        <x:v>AF-PIL</x:v>
      </x:c>
      <x:c r="G13" s="95" t="str">
        <x:v>best dual basket air fryer</x:v>
      </x:c>
      <x:c r="H13" s="95" t="str">
        <x:v>Commercial Investigation</x:v>
      </x:c>
      <x:c r="I13" s="95" t="str">
        <x:v>BOFU</x:v>
      </x:c>
      <x:c r="J13" s="95" t="str">
        <x:v>Best Dual-Basket Air Fryers</x:v>
      </x:c>
      <x:c r="K13" s="95" t="str">
        <x:v>/best-dual-basket-air-fryer/</x:v>
      </x:c>
      <x:c r="L13" s="95" t="str">
        <x:v>High — product table + contextual CTAs</x:v>
      </x:c>
      <x:c r="M13" s="95" t="str">
        <x:v>Article + ItemList + BreadcrumbList</x:v>
      </x:c>
      <x:c r="N13" s="95" t="str">
        <x:v>2,500–4,000</x:v>
      </x:c>
      <x:c r="O13" s="95" t="str">
        <x:v>Original selection methodology; spec verification; decision criteria; custom comparison table; explain exclusions; ideally hands-on notes or documented research.</x:v>
      </x:c>
      <x:c r="P13" s="101" t="str">
        <x:v>Not Started</x:v>
      </x:c>
    </x:row>
    <x:row r="14">
      <x:c r="A14" s="100" t="n">
        <x:v>13</x:v>
      </x:c>
      <x:c r="B14" s="95" t="str">
        <x:v>AF-R12</x:v>
      </x:c>
      <x:c r="C14" s="95" t="str">
        <x:v>P1</x:v>
      </x:c>
      <x:c r="D14" s="95" t="str">
        <x:v>Air Fryers</x:v>
      </x:c>
      <x:c r="E14" s="95" t="str">
        <x:v>Roundup</x:v>
      </x:c>
      <x:c r="F14" s="95" t="str">
        <x:v>AF-PIL</x:v>
      </x:c>
      <x:c r="G14" s="95" t="str">
        <x:v>best air fryer toaster oven combo</x:v>
      </x:c>
      <x:c r="H14" s="95" t="str">
        <x:v>Commercial Investigation</x:v>
      </x:c>
      <x:c r="I14" s="95" t="str">
        <x:v>BOFU</x:v>
      </x:c>
      <x:c r="J14" s="95" t="str">
        <x:v>Best Air Fryer Toaster Oven Combos</x:v>
      </x:c>
      <x:c r="K14" s="95" t="str">
        <x:v>/best-air-fryer-toaster-oven-combo/</x:v>
      </x:c>
      <x:c r="L14" s="95" t="str">
        <x:v>High — product table + contextual CTAs</x:v>
      </x:c>
      <x:c r="M14" s="95" t="str">
        <x:v>Article + ItemList + BreadcrumbList</x:v>
      </x:c>
      <x:c r="N14" s="95" t="str">
        <x:v>2,500–4,000</x:v>
      </x:c>
      <x:c r="O14" s="95" t="str">
        <x:v>Original selection methodology; spec verification; decision criteria; custom comparison table; explain exclusions; ideally hands-on notes or documented research.</x:v>
      </x:c>
      <x:c r="P14" s="101" t="str">
        <x:v>Not Started</x:v>
      </x:c>
    </x:row>
    <x:row r="15">
      <x:c r="A15" s="100" t="n">
        <x:v>14</x:v>
      </x:c>
      <x:c r="B15" s="95" t="str">
        <x:v>BL-R01</x:v>
      </x:c>
      <x:c r="C15" s="95" t="str">
        <x:v>P1</x:v>
      </x:c>
      <x:c r="D15" s="95" t="str">
        <x:v>Blenders</x:v>
      </x:c>
      <x:c r="E15" s="95" t="str">
        <x:v>Roundup</x:v>
      </x:c>
      <x:c r="F15" s="95" t="str">
        <x:v>BL-PIL</x:v>
      </x:c>
      <x:c r="G15" s="95" t="str">
        <x:v>best blender under $100</x:v>
      </x:c>
      <x:c r="H15" s="95" t="str">
        <x:v>Commercial Investigation</x:v>
      </x:c>
      <x:c r="I15" s="95" t="str">
        <x:v>BOFU</x:v>
      </x:c>
      <x:c r="J15" s="95" t="str">
        <x:v>Best Blenders Under $100</x:v>
      </x:c>
      <x:c r="K15" s="95" t="str">
        <x:v>/best-blender-under-100/</x:v>
      </x:c>
      <x:c r="L15" s="95" t="str">
        <x:v>High — product table + contextual CTAs</x:v>
      </x:c>
      <x:c r="M15" s="95" t="str">
        <x:v>Article + ItemList + BreadcrumbList</x:v>
      </x:c>
      <x:c r="N15" s="95" t="str">
        <x:v>2,500–4,000</x:v>
      </x:c>
      <x:c r="O15" s="95" t="str">
        <x:v>Original selection methodology; spec verification; decision criteria; custom comparison table; explain exclusions; ideally hands-on notes or documented research.</x:v>
      </x:c>
      <x:c r="P15" s="101" t="str">
        <x:v>Not Started</x:v>
      </x:c>
    </x:row>
    <x:row r="16">
      <x:c r="A16" s="100" t="n">
        <x:v>15</x:v>
      </x:c>
      <x:c r="B16" s="95" t="str">
        <x:v>BL-R03</x:v>
      </x:c>
      <x:c r="C16" s="95" t="str">
        <x:v>P1</x:v>
      </x:c>
      <x:c r="D16" s="95" t="str">
        <x:v>Blenders</x:v>
      </x:c>
      <x:c r="E16" s="95" t="str">
        <x:v>Roundup</x:v>
      </x:c>
      <x:c r="F16" s="95" t="str">
        <x:v>BL-PIL</x:v>
      </x:c>
      <x:c r="G16" s="95" t="str">
        <x:v>best personal blender</x:v>
      </x:c>
      <x:c r="H16" s="95" t="str">
        <x:v>Commercial Investigation</x:v>
      </x:c>
      <x:c r="I16" s="95" t="str">
        <x:v>BOFU</x:v>
      </x:c>
      <x:c r="J16" s="95" t="str">
        <x:v>Best Personal Blenders</x:v>
      </x:c>
      <x:c r="K16" s="95" t="str">
        <x:v>/best-personal-blender/</x:v>
      </x:c>
      <x:c r="L16" s="95" t="str">
        <x:v>High — product table + contextual CTAs</x:v>
      </x:c>
      <x:c r="M16" s="95" t="str">
        <x:v>Article + ItemList + BreadcrumbList</x:v>
      </x:c>
      <x:c r="N16" s="95" t="str">
        <x:v>2,500–4,000</x:v>
      </x:c>
      <x:c r="O16" s="95" t="str">
        <x:v>Original selection methodology; spec verification; decision criteria; custom comparison table; explain exclusions; ideally hands-on notes or documented research.</x:v>
      </x:c>
      <x:c r="P16" s="101" t="str">
        <x:v>Not Started</x:v>
      </x:c>
    </x:row>
    <x:row r="17">
      <x:c r="A17" s="100" t="n">
        <x:v>16</x:v>
      </x:c>
      <x:c r="B17" s="95" t="str">
        <x:v>BL-R04</x:v>
      </x:c>
      <x:c r="C17" s="95" t="str">
        <x:v>P1</x:v>
      </x:c>
      <x:c r="D17" s="95" t="str">
        <x:v>Blenders</x:v>
      </x:c>
      <x:c r="E17" s="95" t="str">
        <x:v>Roundup</x:v>
      </x:c>
      <x:c r="F17" s="95" t="str">
        <x:v>BL-PIL</x:v>
      </x:c>
      <x:c r="G17" s="95" t="str">
        <x:v>best blender for smoothies</x:v>
      </x:c>
      <x:c r="H17" s="95" t="str">
        <x:v>Commercial Investigation</x:v>
      </x:c>
      <x:c r="I17" s="95" t="str">
        <x:v>BOFU</x:v>
      </x:c>
      <x:c r="J17" s="95" t="str">
        <x:v>Best Blenders for Smoothies</x:v>
      </x:c>
      <x:c r="K17" s="95" t="str">
        <x:v>/best-blender-for-smoothies/</x:v>
      </x:c>
      <x:c r="L17" s="95" t="str">
        <x:v>High — product table + contextual CTAs</x:v>
      </x:c>
      <x:c r="M17" s="95" t="str">
        <x:v>Article + ItemList + BreadcrumbList</x:v>
      </x:c>
      <x:c r="N17" s="95" t="str">
        <x:v>2,500–4,000</x:v>
      </x:c>
      <x:c r="O17" s="95" t="str">
        <x:v>Original selection methodology; spec verification; decision criteria; custom comparison table; explain exclusions; ideally hands-on notes or documented research.</x:v>
      </x:c>
      <x:c r="P17" s="101" t="str">
        <x:v>Not Started</x:v>
      </x:c>
    </x:row>
    <x:row r="18">
      <x:c r="A18" s="100" t="n">
        <x:v>17</x:v>
      </x:c>
      <x:c r="B18" s="95" t="str">
        <x:v>BL-R05</x:v>
      </x:c>
      <x:c r="C18" s="95" t="str">
        <x:v>P1</x:v>
      </x:c>
      <x:c r="D18" s="95" t="str">
        <x:v>Blenders</x:v>
      </x:c>
      <x:c r="E18" s="95" t="str">
        <x:v>Roundup</x:v>
      </x:c>
      <x:c r="F18" s="95" t="str">
        <x:v>BL-PIL</x:v>
      </x:c>
      <x:c r="G18" s="95" t="str">
        <x:v>best blender for frozen fruit</x:v>
      </x:c>
      <x:c r="H18" s="95" t="str">
        <x:v>Commercial Investigation</x:v>
      </x:c>
      <x:c r="I18" s="95" t="str">
        <x:v>BOFU</x:v>
      </x:c>
      <x:c r="J18" s="95" t="str">
        <x:v>Best Blenders for Frozen Fruit</x:v>
      </x:c>
      <x:c r="K18" s="95" t="str">
        <x:v>/best-blender-for-frozen-fruit/</x:v>
      </x:c>
      <x:c r="L18" s="95" t="str">
        <x:v>High — product table + contextual CTAs</x:v>
      </x:c>
      <x:c r="M18" s="95" t="str">
        <x:v>Article + ItemList + BreadcrumbList</x:v>
      </x:c>
      <x:c r="N18" s="95" t="str">
        <x:v>2,500–4,000</x:v>
      </x:c>
      <x:c r="O18" s="95" t="str">
        <x:v>Original selection methodology; spec verification; decision criteria; custom comparison table; explain exclusions; ideally hands-on notes or documented research.</x:v>
      </x:c>
      <x:c r="P18" s="101" t="str">
        <x:v>Not Started</x:v>
      </x:c>
    </x:row>
    <x:row r="19">
      <x:c r="A19" s="100" t="n">
        <x:v>18</x:v>
      </x:c>
      <x:c r="B19" s="95" t="str">
        <x:v>BL-R06</x:v>
      </x:c>
      <x:c r="C19" s="95" t="str">
        <x:v>P1</x:v>
      </x:c>
      <x:c r="D19" s="95" t="str">
        <x:v>Blenders</x:v>
      </x:c>
      <x:c r="E19" s="95" t="str">
        <x:v>Roundup</x:v>
      </x:c>
      <x:c r="F19" s="95" t="str">
        <x:v>BL-PIL</x:v>
      </x:c>
      <x:c r="G19" s="95" t="str">
        <x:v>best blender for crushing ice</x:v>
      </x:c>
      <x:c r="H19" s="95" t="str">
        <x:v>Commercial Investigation</x:v>
      </x:c>
      <x:c r="I19" s="95" t="str">
        <x:v>BOFU</x:v>
      </x:c>
      <x:c r="J19" s="95" t="str">
        <x:v>Best Blenders for Crushing Ice</x:v>
      </x:c>
      <x:c r="K19" s="95" t="str">
        <x:v>/best-blender-for-crushing-ice/</x:v>
      </x:c>
      <x:c r="L19" s="95" t="str">
        <x:v>High — product table + contextual CTAs</x:v>
      </x:c>
      <x:c r="M19" s="95" t="str">
        <x:v>Article + ItemList + BreadcrumbList</x:v>
      </x:c>
      <x:c r="N19" s="95" t="str">
        <x:v>2,500–4,000</x:v>
      </x:c>
      <x:c r="O19" s="95" t="str">
        <x:v>Original selection methodology; spec verification; decision criteria; custom comparison table; explain exclusions; ideally hands-on notes or documented research.</x:v>
      </x:c>
      <x:c r="P19" s="101" t="str">
        <x:v>Not Started</x:v>
      </x:c>
    </x:row>
    <x:row r="20">
      <x:c r="A20" s="100" t="n">
        <x:v>19</x:v>
      </x:c>
      <x:c r="B20" s="95" t="str">
        <x:v>AF-C01</x:v>
      </x:c>
      <x:c r="C20" s="95" t="str">
        <x:v>P1</x:v>
      </x:c>
      <x:c r="D20" s="95" t="str">
        <x:v>Air Fryers</x:v>
      </x:c>
      <x:c r="E20" s="95" t="str">
        <x:v>Comparison</x:v>
      </x:c>
      <x:c r="F20" s="95" t="str">
        <x:v>AF-PIL</x:v>
      </x:c>
      <x:c r="G20" s="95" t="str">
        <x:v>ninja vs cosori air fryer</x:v>
      </x:c>
      <x:c r="H20" s="95" t="str">
        <x:v>Commercial Investigation</x:v>
      </x:c>
      <x:c r="I20" s="95" t="str">
        <x:v>BOFU</x:v>
      </x:c>
      <x:c r="J20" s="95" t="str">
        <x:v>Ninja vs Cosori Air Fryer</x:v>
      </x:c>
      <x:c r="K20" s="95" t="str">
        <x:v>/ninja-vs-cosori-air-fryer/</x:v>
      </x:c>
      <x:c r="L20" s="95" t="str">
        <x:v>High — both products + winner CTAs</x:v>
      </x:c>
      <x:c r="M20" s="95" t="str">
        <x:v>Article + ItemList + BreadcrumbList</x:v>
      </x:c>
      <x:c r="N20" s="95" t="str">
        <x:v>2,000–3,000</x:v>
      </x:c>
      <x:c r="O20" s="95" t="str">
        <x:v>Side-by-side criteria, validated specs, task-based winner logic, price checked date, clear uncertainty.</x:v>
      </x:c>
      <x:c r="P20" s="101" t="str">
        <x:v>Not Started</x:v>
      </x:c>
    </x:row>
    <x:row r="21">
      <x:c r="A21" s="100" t="n">
        <x:v>20</x:v>
      </x:c>
      <x:c r="B21" s="95" t="str">
        <x:v>AF-C03</x:v>
      </x:c>
      <x:c r="C21" s="95" t="str">
        <x:v>P1</x:v>
      </x:c>
      <x:c r="D21" s="95" t="str">
        <x:v>Air Fryers</x:v>
      </x:c>
      <x:c r="E21" s="95" t="str">
        <x:v>Comparison</x:v>
      </x:c>
      <x:c r="F21" s="95" t="str">
        <x:v>AF-PIL</x:v>
      </x:c>
      <x:c r="G21" s="95" t="str">
        <x:v>basket air fryer vs oven air fryer</x:v>
      </x:c>
      <x:c r="H21" s="95" t="str">
        <x:v>Commercial Investigation</x:v>
      </x:c>
      <x:c r="I21" s="95" t="str">
        <x:v>BOFU</x:v>
      </x:c>
      <x:c r="J21" s="95" t="str">
        <x:v>Basket Air Fryer vs Oven Air Fryer</x:v>
      </x:c>
      <x:c r="K21" s="95" t="str">
        <x:v>/basket-air-fryer-vs-oven-air-fryer/</x:v>
      </x:c>
      <x:c r="L21" s="95" t="str">
        <x:v>High — both products + winner CTAs</x:v>
      </x:c>
      <x:c r="M21" s="95" t="str">
        <x:v>Article + ItemList + BreadcrumbList</x:v>
      </x:c>
      <x:c r="N21" s="95" t="str">
        <x:v>2,000–3,000</x:v>
      </x:c>
      <x:c r="O21" s="95" t="str">
        <x:v>Side-by-side criteria, validated specs, task-based winner logic, price checked date, clear uncertainty.</x:v>
      </x:c>
      <x:c r="P21" s="101" t="str">
        <x:v>Not Started</x:v>
      </x:c>
    </x:row>
    <x:row r="22">
      <x:c r="A22" s="100" t="n">
        <x:v>21</x:v>
      </x:c>
      <x:c r="B22" s="95" t="str">
        <x:v>BL-C01</x:v>
      </x:c>
      <x:c r="C22" s="95" t="str">
        <x:v>P1</x:v>
      </x:c>
      <x:c r="D22" s="95" t="str">
        <x:v>Blenders</x:v>
      </x:c>
      <x:c r="E22" s="95" t="str">
        <x:v>Comparison</x:v>
      </x:c>
      <x:c r="F22" s="95" t="str">
        <x:v>BL-PIL</x:v>
      </x:c>
      <x:c r="G22" s="95" t="str">
        <x:v>vitamix vs ninja blender</x:v>
      </x:c>
      <x:c r="H22" s="95" t="str">
        <x:v>Commercial Investigation</x:v>
      </x:c>
      <x:c r="I22" s="95" t="str">
        <x:v>BOFU</x:v>
      </x:c>
      <x:c r="J22" s="95" t="str">
        <x:v>Vitamix vs Ninja Blender</x:v>
      </x:c>
      <x:c r="K22" s="95" t="str">
        <x:v>/vitamix-vs-ninja-blender/</x:v>
      </x:c>
      <x:c r="L22" s="95" t="str">
        <x:v>High — both products + winner CTAs</x:v>
      </x:c>
      <x:c r="M22" s="95" t="str">
        <x:v>Article + ItemList + BreadcrumbList</x:v>
      </x:c>
      <x:c r="N22" s="95" t="str">
        <x:v>2,000–3,000</x:v>
      </x:c>
      <x:c r="O22" s="95" t="str">
        <x:v>Side-by-side criteria, validated specs, task-based winner logic, price checked date, clear uncertainty.</x:v>
      </x:c>
      <x:c r="P22" s="101" t="str">
        <x:v>Not Started</x:v>
      </x:c>
    </x:row>
    <x:row r="23">
      <x:c r="A23" s="100" t="n">
        <x:v>22</x:v>
      </x:c>
      <x:c r="B23" s="95" t="str">
        <x:v>BL-C02</x:v>
      </x:c>
      <x:c r="C23" s="95" t="str">
        <x:v>P1</x:v>
      </x:c>
      <x:c r="D23" s="95" t="str">
        <x:v>Blenders</x:v>
      </x:c>
      <x:c r="E23" s="95" t="str">
        <x:v>Comparison</x:v>
      </x:c>
      <x:c r="F23" s="95" t="str">
        <x:v>BL-PIL</x:v>
      </x:c>
      <x:c r="G23" s="95" t="str">
        <x:v>ninja vs nutribullet</x:v>
      </x:c>
      <x:c r="H23" s="95" t="str">
        <x:v>Commercial Investigation</x:v>
      </x:c>
      <x:c r="I23" s="95" t="str">
        <x:v>BOFU</x:v>
      </x:c>
      <x:c r="J23" s="95" t="str">
        <x:v>Ninja vs NutriBullet Blender</x:v>
      </x:c>
      <x:c r="K23" s="95" t="str">
        <x:v>/ninja-vs-nutribullet/</x:v>
      </x:c>
      <x:c r="L23" s="95" t="str">
        <x:v>High — both products + winner CTAs</x:v>
      </x:c>
      <x:c r="M23" s="95" t="str">
        <x:v>Article + ItemList + BreadcrumbList</x:v>
      </x:c>
      <x:c r="N23" s="95" t="str">
        <x:v>2,000–3,000</x:v>
      </x:c>
      <x:c r="O23" s="95" t="str">
        <x:v>Side-by-side criteria, validated specs, task-based winner logic, price checked date, clear uncertainty.</x:v>
      </x:c>
      <x:c r="P23" s="101" t="str">
        <x:v>Not Started</x:v>
      </x:c>
    </x:row>
    <x:row r="24">
      <x:c r="A24" s="100" t="n">
        <x:v>23</x:v>
      </x:c>
      <x:c r="B24" s="95" t="str">
        <x:v>BL-C06</x:v>
      </x:c>
      <x:c r="C24" s="95" t="str">
        <x:v>P1</x:v>
      </x:c>
      <x:c r="D24" s="95" t="str">
        <x:v>Blenders</x:v>
      </x:c>
      <x:c r="E24" s="95" t="str">
        <x:v>Comparison</x:v>
      </x:c>
      <x:c r="F24" s="95" t="str">
        <x:v>BL-PIL</x:v>
      </x:c>
      <x:c r="G24" s="95" t="str">
        <x:v>blender vs food processor</x:v>
      </x:c>
      <x:c r="H24" s="95" t="str">
        <x:v>Commercial Investigation</x:v>
      </x:c>
      <x:c r="I24" s="95" t="str">
        <x:v>BOFU</x:v>
      </x:c>
      <x:c r="J24" s="95" t="str">
        <x:v>Blender vs Food Processor</x:v>
      </x:c>
      <x:c r="K24" s="95" t="str">
        <x:v>/blender-vs-food-processor/</x:v>
      </x:c>
      <x:c r="L24" s="95" t="str">
        <x:v>High — both products + winner CTAs</x:v>
      </x:c>
      <x:c r="M24" s="95" t="str">
        <x:v>Article + ItemList + BreadcrumbList</x:v>
      </x:c>
      <x:c r="N24" s="95" t="str">
        <x:v>2,000–3,000</x:v>
      </x:c>
      <x:c r="O24" s="95" t="str">
        <x:v>Side-by-side criteria, validated specs, task-based winner logic, price checked date, clear uncertainty.</x:v>
      </x:c>
      <x:c r="P24" s="101" t="str">
        <x:v>Not Started</x:v>
      </x:c>
    </x:row>
    <x:row r="25">
      <x:c r="A25" s="100" t="n">
        <x:v>24</x:v>
      </x:c>
      <x:c r="B25" s="95" t="str">
        <x:v>AF-V01</x:v>
      </x:c>
      <x:c r="C25" s="95" t="str">
        <x:v>P1</x:v>
      </x:c>
      <x:c r="D25" s="95" t="str">
        <x:v>Air Fryers</x:v>
      </x:c>
      <x:c r="E25" s="95" t="str">
        <x:v>Single Review</x:v>
      </x:c>
      <x:c r="F25" s="95" t="str">
        <x:v>AF-PIL</x:v>
      </x:c>
      <x:c r="G25" s="95" t="str">
        <x:v>ninja air fryer pro review</x:v>
      </x:c>
      <x:c r="H25" s="95" t="str">
        <x:v>Commercial Investigation</x:v>
      </x:c>
      <x:c r="I25" s="95" t="str">
        <x:v>BOFU</x:v>
      </x:c>
      <x:c r="J25" s="95" t="str">
        <x:v>Ninja Air Fryer Pro Review</x:v>
      </x:c>
      <x:c r="K25" s="95" t="str">
        <x:v>/ninja-air-fryer-pro-review/</x:v>
      </x:c>
      <x:c r="L25" s="95" t="str">
        <x:v>High — primary product + alternatives</x:v>
      </x:c>
      <x:c r="M25" s="95" t="str">
        <x:v>Product + Review + BreadcrumbList (only truthful first-party review data)</x:v>
      </x:c>
      <x:c r="N25" s="95" t="str">
        <x:v>1,800–2,800</x:v>
      </x:c>
      <x:c r="O25" s="95" t="str">
        <x:v>Hands-on testing preferred. Otherwise clearly disclose research-based review; add original analysis, test protocol, photos/data where available; never invent use.</x:v>
      </x:c>
      <x:c r="P25" s="101" t="str">
        <x:v>Not Started</x:v>
      </x:c>
    </x:row>
    <x:row r="26">
      <x:c r="A26" s="100" t="n">
        <x:v>25</x:v>
      </x:c>
      <x:c r="B26" s="95" t="str">
        <x:v>AF-V02</x:v>
      </x:c>
      <x:c r="C26" s="95" t="str">
        <x:v>P1</x:v>
      </x:c>
      <x:c r="D26" s="95" t="str">
        <x:v>Air Fryers</x:v>
      </x:c>
      <x:c r="E26" s="95" t="str">
        <x:v>Single Review</x:v>
      </x:c>
      <x:c r="F26" s="95" t="str">
        <x:v>AF-PIL</x:v>
      </x:c>
      <x:c r="G26" s="95" t="str">
        <x:v>cosori turboblaze air fryer review</x:v>
      </x:c>
      <x:c r="H26" s="95" t="str">
        <x:v>Commercial Investigation</x:v>
      </x:c>
      <x:c r="I26" s="95" t="str">
        <x:v>BOFU</x:v>
      </x:c>
      <x:c r="J26" s="95" t="str">
        <x:v>Cosori TurboBlaze Air Fryer Review</x:v>
      </x:c>
      <x:c r="K26" s="95" t="str">
        <x:v>/cosori-turboblaze-air-fryer-review/</x:v>
      </x:c>
      <x:c r="L26" s="95" t="str">
        <x:v>High — primary product + alternatives</x:v>
      </x:c>
      <x:c r="M26" s="95" t="str">
        <x:v>Product + Review + BreadcrumbList (only truthful first-party review data)</x:v>
      </x:c>
      <x:c r="N26" s="95" t="str">
        <x:v>1,800–2,800</x:v>
      </x:c>
      <x:c r="O26" s="95" t="str">
        <x:v>Hands-on testing preferred. Otherwise clearly disclose research-based review; add original analysis, test protocol, photos/data where available; never invent use.</x:v>
      </x:c>
      <x:c r="P26" s="101" t="str">
        <x:v>Not Started</x:v>
      </x:c>
    </x:row>
    <x:row r="27">
      <x:c r="A27" s="100" t="n">
        <x:v>26</x:v>
      </x:c>
      <x:c r="B27" s="95" t="str">
        <x:v>BL-V01</x:v>
      </x:c>
      <x:c r="C27" s="95" t="str">
        <x:v>P1</x:v>
      </x:c>
      <x:c r="D27" s="95" t="str">
        <x:v>Blenders</x:v>
      </x:c>
      <x:c r="E27" s="95" t="str">
        <x:v>Single Review</x:v>
      </x:c>
      <x:c r="F27" s="95" t="str">
        <x:v>BL-PIL</x:v>
      </x:c>
      <x:c r="G27" s="95" t="str">
        <x:v>ninja detect power blender pro review</x:v>
      </x:c>
      <x:c r="H27" s="95" t="str">
        <x:v>Commercial Investigation</x:v>
      </x:c>
      <x:c r="I27" s="95" t="str">
        <x:v>BOFU</x:v>
      </x:c>
      <x:c r="J27" s="95" t="str">
        <x:v>Ninja Detect Power Blender Pro Review</x:v>
      </x:c>
      <x:c r="K27" s="95" t="str">
        <x:v>/ninja-detect-power-blender-pro-review/</x:v>
      </x:c>
      <x:c r="L27" s="95" t="str">
        <x:v>High — primary product + alternatives</x:v>
      </x:c>
      <x:c r="M27" s="95" t="str">
        <x:v>Product + Review + BreadcrumbList (only truthful first-party review data)</x:v>
      </x:c>
      <x:c r="N27" s="95" t="str">
        <x:v>1,800–2,800</x:v>
      </x:c>
      <x:c r="O27" s="95" t="str">
        <x:v>Hands-on testing preferred. Otherwise clearly disclose research-based review; add original analysis, test protocol, photos/data where available; never invent use.</x:v>
      </x:c>
      <x:c r="P27" s="101" t="str">
        <x:v>Not Started</x:v>
      </x:c>
    </x:row>
    <x:row r="28">
      <x:c r="A28" s="100" t="n">
        <x:v>27</x:v>
      </x:c>
      <x:c r="B28" s="95" t="str">
        <x:v>BL-V02</x:v>
      </x:c>
      <x:c r="C28" s="95" t="str">
        <x:v>P1</x:v>
      </x:c>
      <x:c r="D28" s="95" t="str">
        <x:v>Blenders</x:v>
      </x:c>
      <x:c r="E28" s="95" t="str">
        <x:v>Single Review</x:v>
      </x:c>
      <x:c r="F28" s="95" t="str">
        <x:v>BL-PIL</x:v>
      </x:c>
      <x:c r="G28" s="95" t="str">
        <x:v>nutribullet pro 900 review</x:v>
      </x:c>
      <x:c r="H28" s="95" t="str">
        <x:v>Commercial Investigation</x:v>
      </x:c>
      <x:c r="I28" s="95" t="str">
        <x:v>BOFU</x:v>
      </x:c>
      <x:c r="J28" s="95" t="str">
        <x:v>NutriBullet Pro 900 Review</x:v>
      </x:c>
      <x:c r="K28" s="95" t="str">
        <x:v>/nutribullet-pro-900-review/</x:v>
      </x:c>
      <x:c r="L28" s="95" t="str">
        <x:v>High — primary product + alternatives</x:v>
      </x:c>
      <x:c r="M28" s="95" t="str">
        <x:v>Product + Review + BreadcrumbList (only truthful first-party review data)</x:v>
      </x:c>
      <x:c r="N28" s="95" t="str">
        <x:v>1,800–2,800</x:v>
      </x:c>
      <x:c r="O28" s="95" t="str">
        <x:v>Hands-on testing preferred. Otherwise clearly disclose research-based review; add original analysis, test protocol, photos/data where available; never invent use.</x:v>
      </x:c>
      <x:c r="P28" s="101" t="str">
        <x:v>Not Started</x:v>
      </x:c>
    </x:row>
    <x:row r="29">
      <x:c r="A29" s="100" t="n">
        <x:v>28</x:v>
      </x:c>
      <x:c r="B29" s="95" t="str">
        <x:v>AF-G01</x:v>
      </x:c>
      <x:c r="C29" s="95" t="str">
        <x:v>P1</x:v>
      </x:c>
      <x:c r="D29" s="95" t="str">
        <x:v>Air Fryers</x:v>
      </x:c>
      <x:c r="E29" s="95" t="str">
        <x:v>Buying Guide</x:v>
      </x:c>
      <x:c r="F29" s="95" t="str">
        <x:v>AF-HUB</x:v>
      </x:c>
      <x:c r="G29" s="95" t="str">
        <x:v>air fryer buying guide</x:v>
      </x:c>
      <x:c r="H29" s="95" t="str">
        <x:v>Informational</x:v>
      </x:c>
      <x:c r="I29" s="95" t="str">
        <x:v>TOFU/MOFU</x:v>
      </x:c>
      <x:c r="J29" s="95" t="str">
        <x:v>Air Fryer Buying Guide</x:v>
      </x:c>
      <x:c r="K29" s="95" t="str">
        <x:v>/air-fryer-buying-guide/</x:v>
      </x:c>
      <x:c r="L29" s="95" t="str">
        <x:v>Medium — recommended examples</x:v>
      </x:c>
      <x:c r="M29" s="95" t="str">
        <x:v>Article + BreadcrumbList</x:v>
      </x:c>
      <x:c r="N29" s="95" t="str">
        <x:v>2,200–3,500</x:v>
      </x:c>
      <x:c r="O29" s="95" t="str">
        <x:v>Primary-source/manual references where useful; calculations/examples; original explanation; safety caveats; no generic rewritten filler.</x:v>
      </x:c>
      <x:c r="P29" s="101" t="str">
        <x:v>Not Started</x:v>
      </x:c>
    </x:row>
    <x:row r="30">
      <x:c r="A30" s="100" t="n">
        <x:v>29</x:v>
      </x:c>
      <x:c r="B30" s="95" t="str">
        <x:v>BL-G01</x:v>
      </x:c>
      <x:c r="C30" s="95" t="str">
        <x:v>P1</x:v>
      </x:c>
      <x:c r="D30" s="95" t="str">
        <x:v>Blenders</x:v>
      </x:c>
      <x:c r="E30" s="95" t="str">
        <x:v>Buying Guide</x:v>
      </x:c>
      <x:c r="F30" s="95" t="str">
        <x:v>BL-HUB</x:v>
      </x:c>
      <x:c r="G30" s="95" t="str">
        <x:v>blender buying guide</x:v>
      </x:c>
      <x:c r="H30" s="95" t="str">
        <x:v>Informational</x:v>
      </x:c>
      <x:c r="I30" s="95" t="str">
        <x:v>TOFU/MOFU</x:v>
      </x:c>
      <x:c r="J30" s="95" t="str">
        <x:v>Blender Buying Guide</x:v>
      </x:c>
      <x:c r="K30" s="95" t="str">
        <x:v>/blender-buying-guide/</x:v>
      </x:c>
      <x:c r="L30" s="95" t="str">
        <x:v>Medium — recommended examples</x:v>
      </x:c>
      <x:c r="M30" s="95" t="str">
        <x:v>Article + BreadcrumbList</x:v>
      </x:c>
      <x:c r="N30" s="95" t="str">
        <x:v>2,200–3,500</x:v>
      </x:c>
      <x:c r="O30" s="95" t="str">
        <x:v>Primary-source/manual references where useful; calculations/examples; original explanation; safety caveats; no generic rewritten filler.</x:v>
      </x:c>
      <x:c r="P30" s="101" t="str">
        <x:v>Not Started</x:v>
      </x:c>
    </x:row>
    <x:row r="31">
      <x:c r="A31" s="100" t="n">
        <x:v>30</x:v>
      </x:c>
      <x:c r="B31" s="95" t="str">
        <x:v>CC-G01</x:v>
      </x:c>
      <x:c r="C31" s="95" t="str">
        <x:v>P1</x:v>
      </x:c>
      <x:c r="D31" s="95" t="str">
        <x:v>Cross-Category</x:v>
      </x:c>
      <x:c r="E31" s="95" t="str">
        <x:v>Buying Guide</x:v>
      </x:c>
      <x:c r="F31" s="95" t="str"/>
      <x:c r="G31" s="95" t="str">
        <x:v>how we test kitchen appliances</x:v>
      </x:c>
      <x:c r="H31" s="95" t="str">
        <x:v>Informational</x:v>
      </x:c>
      <x:c r="I31" s="95" t="str">
        <x:v>TOFU/MOFU</x:v>
      </x:c>
      <x:c r="J31" s="95" t="str">
        <x:v>How CounterCrave Tests and Evaluates Kitchen Appliances</x:v>
      </x:c>
      <x:c r="K31" s="95" t="str">
        <x:v>/how-we-test/</x:v>
      </x:c>
      <x:c r="L31" s="95" t="str">
        <x:v>Medium — recommended examples</x:v>
      </x:c>
      <x:c r="M31" s="95" t="str">
        <x:v>Article + BreadcrumbList</x:v>
      </x:c>
      <x:c r="N31" s="95" t="str">
        <x:v>2,200–3,500</x:v>
      </x:c>
      <x:c r="O31" s="95" t="str">
        <x:v>Primary-source/manual references where useful; calculations/examples; original explanation; safety caveats; no generic rewritten filler.</x:v>
      </x:c>
      <x:c r="P31" s="101" t="str">
        <x:v>Not Started</x:v>
      </x:c>
    </x:row>
    <x:row r="32">
      <x:c r="A32" s="100" t="n">
        <x:v>31</x:v>
      </x:c>
      <x:c r="B32" s="95" t="str">
        <x:v>AF-G02</x:v>
      </x:c>
      <x:c r="C32" s="95" t="str">
        <x:v>P1</x:v>
      </x:c>
      <x:c r="D32" s="95" t="str">
        <x:v>Air Fryers</x:v>
      </x:c>
      <x:c r="E32" s="95" t="str">
        <x:v>Informational</x:v>
      </x:c>
      <x:c r="F32" s="95" t="str">
        <x:v>AF-HUB</x:v>
      </x:c>
      <x:c r="G32" s="95" t="str">
        <x:v>what size air fryer do i need</x:v>
      </x:c>
      <x:c r="H32" s="95" t="str">
        <x:v>Informational</x:v>
      </x:c>
      <x:c r="I32" s="95" t="str">
        <x:v>TOFU/MOFU</x:v>
      </x:c>
      <x:c r="J32" s="95" t="str">
        <x:v>What Size Air Fryer Do I Need?</x:v>
      </x:c>
      <x:c r="K32" s="95" t="str">
        <x:v>/what-size-air-fryer-do-i-need/</x:v>
      </x:c>
      <x:c r="L32" s="95" t="str">
        <x:v>Low/Medium — contextual product links only</x:v>
      </x:c>
      <x:c r="M32" s="95" t="str">
        <x:v>Article + BreadcrumbList</x:v>
      </x:c>
      <x:c r="N32" s="95" t="str">
        <x:v>1,200–2,200</x:v>
      </x:c>
      <x:c r="O32" s="95" t="str">
        <x:v>Primary-source/manual references where useful; calculations/examples; original explanation; safety caveats; no generic rewritten filler.</x:v>
      </x:c>
      <x:c r="P32" s="101" t="str">
        <x:v>Not Started</x:v>
      </x:c>
    </x:row>
    <x:row r="33">
      <x:c r="A33" s="100" t="n">
        <x:v>32</x:v>
      </x:c>
      <x:c r="B33" s="95" t="str">
        <x:v>CC-G02</x:v>
      </x:c>
      <x:c r="C33" s="95" t="str">
        <x:v>P1</x:v>
      </x:c>
      <x:c r="D33" s="95" t="str">
        <x:v>Cross-Category</x:v>
      </x:c>
      <x:c r="E33" s="95" t="str">
        <x:v>Informational</x:v>
      </x:c>
      <x:c r="F33" s="95" t="str"/>
      <x:c r="G33" s="95" t="str">
        <x:v>countertop appliance size guide</x:v>
      </x:c>
      <x:c r="H33" s="95" t="str">
        <x:v>Informational</x:v>
      </x:c>
      <x:c r="I33" s="95" t="str">
        <x:v>TOFU/MOFU</x:v>
      </x:c>
      <x:c r="J33" s="95" t="str">
        <x:v>Countertop Appliance Size and Clearance Guide</x:v>
      </x:c>
      <x:c r="K33" s="95" t="str">
        <x:v>/countertop-appliance-size-guide/</x:v>
      </x:c>
      <x:c r="L33" s="95" t="str">
        <x:v>Low/Medium — contextual product links only</x:v>
      </x:c>
      <x:c r="M33" s="95" t="str">
        <x:v>Article + BreadcrumbList</x:v>
      </x:c>
      <x:c r="N33" s="95" t="str">
        <x:v>1,200–2,200</x:v>
      </x:c>
      <x:c r="O33" s="95" t="str">
        <x:v>Primary-source/manual references where useful; calculations/examples; original explanation; safety caveats; no generic rewritten filler.</x:v>
      </x:c>
      <x:c r="P33" s="101" t="str">
        <x:v>Not Started</x:v>
      </x:c>
    </x:row>
    <x:row r="34">
      <x:c r="A34" s="100" t="n">
        <x:v>33</x:v>
      </x:c>
      <x:c r="B34" s="95" t="str">
        <x:v>EK-HUB</x:v>
      </x:c>
      <x:c r="C34" s="95" t="str">
        <x:v>P2</x:v>
      </x:c>
      <x:c r="D34" s="95" t="str">
        <x:v>Electric Kettles</x:v>
      </x:c>
      <x:c r="E34" s="95" t="str">
        <x:v>Category Hub</x:v>
      </x:c>
      <x:c r="F34" s="95" t="str"/>
      <x:c r="G34" s="95" t="str">
        <x:v>electric kettle reviews and buying guides</x:v>
      </x:c>
      <x:c r="H34" s="95" t="str">
        <x:v>Mixed</x:v>
      </x:c>
      <x:c r="I34" s="95" t="str">
        <x:v>MOFU</x:v>
      </x:c>
      <x:c r="J34" s="95" t="str">
        <x:v>Electric Kettle Reviews, Comparisons and Buying Guides</x:v>
      </x:c>
      <x:c r="K34" s="95" t="str">
        <x:v>/electric-kettles/</x:v>
      </x:c>
      <x:c r="L34" s="95" t="str">
        <x:v>Indirect — distribute users to money pages</x:v>
      </x:c>
      <x:c r="M34" s="95" t="str">
        <x:v>CollectionPage + ItemList + BreadcrumbList</x:v>
      </x:c>
      <x:c r="N34" s="95" t="str">
        <x:v>1,500–2,200</x:v>
      </x:c>
      <x:c r="O34" s="95" t="str">
        <x:v>Original editorial context, source validation and clear author accountability.</x:v>
      </x:c>
      <x:c r="P34" s="101" t="str">
        <x:v>Not Started</x:v>
      </x:c>
    </x:row>
    <x:row r="35">
      <x:c r="A35" s="100" t="n">
        <x:v>34</x:v>
      </x:c>
      <x:c r="B35" s="95" t="str">
        <x:v>TO-HUB</x:v>
      </x:c>
      <x:c r="C35" s="95" t="str">
        <x:v>P2</x:v>
      </x:c>
      <x:c r="D35" s="95" t="str">
        <x:v>Toaster Ovens</x:v>
      </x:c>
      <x:c r="E35" s="95" t="str">
        <x:v>Category Hub</x:v>
      </x:c>
      <x:c r="F35" s="95" t="str"/>
      <x:c r="G35" s="95" t="str">
        <x:v>toaster oven reviews and buying guides</x:v>
      </x:c>
      <x:c r="H35" s="95" t="str">
        <x:v>Mixed</x:v>
      </x:c>
      <x:c r="I35" s="95" t="str">
        <x:v>MOFU</x:v>
      </x:c>
      <x:c r="J35" s="95" t="str">
        <x:v>Toaster Oven Reviews, Comparisons and Buying Guides</x:v>
      </x:c>
      <x:c r="K35" s="95" t="str">
        <x:v>/toaster-ovens/</x:v>
      </x:c>
      <x:c r="L35" s="95" t="str">
        <x:v>Indirect — distribute users to money pages</x:v>
      </x:c>
      <x:c r="M35" s="95" t="str">
        <x:v>CollectionPage + ItemList + BreadcrumbList</x:v>
      </x:c>
      <x:c r="N35" s="95" t="str">
        <x:v>1,500–2,200</x:v>
      </x:c>
      <x:c r="O35" s="95" t="str">
        <x:v>Original editorial context, source validation and clear author accountability.</x:v>
      </x:c>
      <x:c r="P35" s="101" t="str">
        <x:v>Not Started</x:v>
      </x:c>
    </x:row>
    <x:row r="36">
      <x:c r="A36" s="100" t="n">
        <x:v>35</x:v>
      </x:c>
      <x:c r="B36" s="95" t="str">
        <x:v>EK-PIL</x:v>
      </x:c>
      <x:c r="C36" s="95" t="str">
        <x:v>P2</x:v>
      </x:c>
      <x:c r="D36" s="95" t="str">
        <x:v>Electric Kettles</x:v>
      </x:c>
      <x:c r="E36" s="95" t="str">
        <x:v>Commercial Pillar</x:v>
      </x:c>
      <x:c r="F36" s="95" t="str">
        <x:v>EK-HUB</x:v>
      </x:c>
      <x:c r="G36" s="95" t="str">
        <x:v>best electric kettles</x:v>
      </x:c>
      <x:c r="H36" s="95" t="str">
        <x:v>Commercial Investigation</x:v>
      </x:c>
      <x:c r="I36" s="95" t="str">
        <x:v>BOFU</x:v>
      </x:c>
      <x:c r="J36" s="95" t="str">
        <x:v>Best Electric Kettles for Tea, Coffee and Fast Boiling</x:v>
      </x:c>
      <x:c r="K36" s="95" t="str">
        <x:v>/best-electric-kettles/</x:v>
      </x:c>
      <x:c r="L36" s="95" t="str">
        <x:v>High — product table + contextual CTAs</x:v>
      </x:c>
      <x:c r="M36" s="95" t="str">
        <x:v>Article + ItemList + BreadcrumbList</x:v>
      </x:c>
      <x:c r="N36" s="95" t="str">
        <x:v>3,000–4,500</x:v>
      </x:c>
      <x:c r="O36" s="95" t="str">
        <x:v>Original selection methodology; spec verification; decision criteria; custom comparison table; explain exclusions; ideally hands-on notes or documented research.</x:v>
      </x:c>
      <x:c r="P36" s="101" t="str">
        <x:v>Not Started</x:v>
      </x:c>
    </x:row>
    <x:row r="37">
      <x:c r="A37" s="100" t="n">
        <x:v>36</x:v>
      </x:c>
      <x:c r="B37" s="95" t="str">
        <x:v>TO-PIL</x:v>
      </x:c>
      <x:c r="C37" s="95" t="str">
        <x:v>P2</x:v>
      </x:c>
      <x:c r="D37" s="95" t="str">
        <x:v>Toaster Ovens</x:v>
      </x:c>
      <x:c r="E37" s="95" t="str">
        <x:v>Commercial Pillar</x:v>
      </x:c>
      <x:c r="F37" s="95" t="str">
        <x:v>TO-HUB</x:v>
      </x:c>
      <x:c r="G37" s="95" t="str">
        <x:v>best toaster ovens</x:v>
      </x:c>
      <x:c r="H37" s="95" t="str">
        <x:v>Commercial Investigation</x:v>
      </x:c>
      <x:c r="I37" s="95" t="str">
        <x:v>BOFU</x:v>
      </x:c>
      <x:c r="J37" s="95" t="str">
        <x:v>Best Toaster Ovens for Toast, Baking and Everyday Meals</x:v>
      </x:c>
      <x:c r="K37" s="95" t="str">
        <x:v>/best-toaster-ovens/</x:v>
      </x:c>
      <x:c r="L37" s="95" t="str">
        <x:v>High — product table + contextual CTAs</x:v>
      </x:c>
      <x:c r="M37" s="95" t="str">
        <x:v>Article + ItemList + BreadcrumbList</x:v>
      </x:c>
      <x:c r="N37" s="95" t="str">
        <x:v>3,000–4,500</x:v>
      </x:c>
      <x:c r="O37" s="95" t="str">
        <x:v>Original selection methodology; spec verification; decision criteria; custom comparison table; explain exclusions; ideally hands-on notes or documented research.</x:v>
      </x:c>
      <x:c r="P37" s="101" t="str">
        <x:v>Not Started</x:v>
      </x:c>
    </x:row>
    <x:row r="38">
      <x:c r="A38" s="100" t="n">
        <x:v>37</x:v>
      </x:c>
      <x:c r="B38" s="95" t="str">
        <x:v>AF-R08</x:v>
      </x:c>
      <x:c r="C38" s="95" t="str">
        <x:v>P2</x:v>
      </x:c>
      <x:c r="D38" s="95" t="str">
        <x:v>Air Fryers</x:v>
      </x:c>
      <x:c r="E38" s="95" t="str">
        <x:v>Roundup</x:v>
      </x:c>
      <x:c r="F38" s="95" t="str">
        <x:v>AF-PIL</x:v>
      </x:c>
      <x:c r="G38" s="95" t="str">
        <x:v>best air fryer for apartment</x:v>
      </x:c>
      <x:c r="H38" s="95" t="str">
        <x:v>Commercial Investigation</x:v>
      </x:c>
      <x:c r="I38" s="95" t="str">
        <x:v>BOFU</x:v>
      </x:c>
      <x:c r="J38" s="95" t="str">
        <x:v>Best Air Fryers for Apartments</x:v>
      </x:c>
      <x:c r="K38" s="95" t="str">
        <x:v>/best-air-fryer-for-apartment/</x:v>
      </x:c>
      <x:c r="L38" s="95" t="str">
        <x:v>High — product table + contextual CTAs</x:v>
      </x:c>
      <x:c r="M38" s="95" t="str">
        <x:v>Article + ItemList + BreadcrumbList</x:v>
      </x:c>
      <x:c r="N38" s="95" t="str">
        <x:v>2,500–4,000</x:v>
      </x:c>
      <x:c r="O38" s="95" t="str">
        <x:v>Original selection methodology; spec verification; decision criteria; custom comparison table; explain exclusions; ideally hands-on notes or documented research.</x:v>
      </x:c>
      <x:c r="P38" s="101" t="str">
        <x:v>Not Started</x:v>
      </x:c>
    </x:row>
    <x:row r="39">
      <x:c r="A39" s="100" t="n">
        <x:v>38</x:v>
      </x:c>
      <x:c r="B39" s="95" t="str">
        <x:v>AF-R09</x:v>
      </x:c>
      <x:c r="C39" s="95" t="str">
        <x:v>P2</x:v>
      </x:c>
      <x:c r="D39" s="95" t="str">
        <x:v>Air Fryers</x:v>
      </x:c>
      <x:c r="E39" s="95" t="str">
        <x:v>Roundup</x:v>
      </x:c>
      <x:c r="F39" s="95" t="str">
        <x:v>AF-PIL</x:v>
      </x:c>
      <x:c r="G39" s="95" t="str">
        <x:v>best air fryer for beginners</x:v>
      </x:c>
      <x:c r="H39" s="95" t="str">
        <x:v>Commercial Investigation</x:v>
      </x:c>
      <x:c r="I39" s="95" t="str">
        <x:v>BOFU</x:v>
      </x:c>
      <x:c r="J39" s="95" t="str">
        <x:v>Best Air Fryers for Beginners</x:v>
      </x:c>
      <x:c r="K39" s="95" t="str">
        <x:v>/best-air-fryer-for-beginners/</x:v>
      </x:c>
      <x:c r="L39" s="95" t="str">
        <x:v>High — product table + contextual CTAs</x:v>
      </x:c>
      <x:c r="M39" s="95" t="str">
        <x:v>Article + ItemList + BreadcrumbList</x:v>
      </x:c>
      <x:c r="N39" s="95" t="str">
        <x:v>2,500–4,000</x:v>
      </x:c>
      <x:c r="O39" s="95" t="str">
        <x:v>Original selection methodology; spec verification; decision criteria; custom comparison table; explain exclusions; ideally hands-on notes or documented research.</x:v>
      </x:c>
      <x:c r="P39" s="101" t="str">
        <x:v>Not Started</x:v>
      </x:c>
    </x:row>
    <x:row r="40">
      <x:c r="A40" s="100" t="n">
        <x:v>39</x:v>
      </x:c>
      <x:c r="B40" s="95" t="str">
        <x:v>AF-R10</x:v>
      </x:c>
      <x:c r="C40" s="95" t="str">
        <x:v>P2</x:v>
      </x:c>
      <x:c r="D40" s="95" t="str">
        <x:v>Air Fryers</x:v>
      </x:c>
      <x:c r="E40" s="95" t="str">
        <x:v>Roundup</x:v>
      </x:c>
      <x:c r="F40" s="95" t="str">
        <x:v>AF-PIL</x:v>
      </x:c>
      <x:c r="G40" s="95" t="str">
        <x:v>best air fryer for seniors</x:v>
      </x:c>
      <x:c r="H40" s="95" t="str">
        <x:v>Commercial Investigation</x:v>
      </x:c>
      <x:c r="I40" s="95" t="str">
        <x:v>BOFU</x:v>
      </x:c>
      <x:c r="J40" s="95" t="str">
        <x:v>Best Air Fryers for Seniors</x:v>
      </x:c>
      <x:c r="K40" s="95" t="str">
        <x:v>/best-air-fryer-for-seniors/</x:v>
      </x:c>
      <x:c r="L40" s="95" t="str">
        <x:v>High — product table + contextual CTAs</x:v>
      </x:c>
      <x:c r="M40" s="95" t="str">
        <x:v>Article + ItemList + BreadcrumbList</x:v>
      </x:c>
      <x:c r="N40" s="95" t="str">
        <x:v>2,500–4,000</x:v>
      </x:c>
      <x:c r="O40" s="95" t="str">
        <x:v>Original selection methodology; spec verification; decision criteria; custom comparison table; explain exclusions; ideally hands-on notes or documented research.</x:v>
      </x:c>
      <x:c r="P40" s="101" t="str">
        <x:v>Not Started</x:v>
      </x:c>
    </x:row>
    <x:row r="41">
      <x:c r="A41" s="100" t="n">
        <x:v>40</x:v>
      </x:c>
      <x:c r="B41" s="95" t="str">
        <x:v>AF-R13</x:v>
      </x:c>
      <x:c r="C41" s="95" t="str">
        <x:v>P2</x:v>
      </x:c>
      <x:c r="D41" s="95" t="str">
        <x:v>Air Fryers</x:v>
      </x:c>
      <x:c r="E41" s="95" t="str">
        <x:v>Roundup</x:v>
      </x:c>
      <x:c r="F41" s="95" t="str">
        <x:v>AF-PIL</x:v>
      </x:c>
      <x:c r="G41" s="95" t="str">
        <x:v>best stainless steel air fryer</x:v>
      </x:c>
      <x:c r="H41" s="95" t="str">
        <x:v>Commercial Investigation</x:v>
      </x:c>
      <x:c r="I41" s="95" t="str">
        <x:v>BOFU</x:v>
      </x:c>
      <x:c r="J41" s="95" t="str">
        <x:v>Best Stainless Steel Air Fryers</x:v>
      </x:c>
      <x:c r="K41" s="95" t="str">
        <x:v>/best-stainless-steel-air-fryer/</x:v>
      </x:c>
      <x:c r="L41" s="95" t="str">
        <x:v>High — product table + contextual CTAs</x:v>
      </x:c>
      <x:c r="M41" s="95" t="str">
        <x:v>Article + ItemList + BreadcrumbList</x:v>
      </x:c>
      <x:c r="N41" s="95" t="str">
        <x:v>2,500–4,000</x:v>
      </x:c>
      <x:c r="O41" s="95" t="str">
        <x:v>Original selection methodology; spec verification; decision criteria; custom comparison table; explain exclusions; ideally hands-on notes or documented research.</x:v>
      </x:c>
      <x:c r="P41" s="101" t="str">
        <x:v>Not Started</x:v>
      </x:c>
    </x:row>
    <x:row r="42">
      <x:c r="A42" s="100" t="n">
        <x:v>41</x:v>
      </x:c>
      <x:c r="B42" s="95" t="str">
        <x:v>AF-R14</x:v>
      </x:c>
      <x:c r="C42" s="95" t="str">
        <x:v>P2</x:v>
      </x:c>
      <x:c r="D42" s="95" t="str">
        <x:v>Air Fryers</x:v>
      </x:c>
      <x:c r="E42" s="95" t="str">
        <x:v>Roundup</x:v>
      </x:c>
      <x:c r="F42" s="95" t="str">
        <x:v>AF-PIL</x:v>
      </x:c>
      <x:c r="G42" s="95" t="str">
        <x:v>quietest air fryer</x:v>
      </x:c>
      <x:c r="H42" s="95" t="str">
        <x:v>Commercial Investigation</x:v>
      </x:c>
      <x:c r="I42" s="95" t="str">
        <x:v>BOFU</x:v>
      </x:c>
      <x:c r="J42" s="95" t="str">
        <x:v>Best Quiet Air Fryers</x:v>
      </x:c>
      <x:c r="K42" s="95" t="str">
        <x:v>/quietest-air-fryer/</x:v>
      </x:c>
      <x:c r="L42" s="95" t="str">
        <x:v>High — product table + contextual CTAs</x:v>
      </x:c>
      <x:c r="M42" s="95" t="str">
        <x:v>Article + ItemList + BreadcrumbList</x:v>
      </x:c>
      <x:c r="N42" s="95" t="str">
        <x:v>2,500–4,000</x:v>
      </x:c>
      <x:c r="O42" s="95" t="str">
        <x:v>Original selection methodology; spec verification; decision criteria; custom comparison table; explain exclusions; ideally hands-on notes or documented research.</x:v>
      </x:c>
      <x:c r="P42" s="101" t="str">
        <x:v>Not Started</x:v>
      </x:c>
    </x:row>
    <x:row r="43">
      <x:c r="A43" s="100" t="n">
        <x:v>42</x:v>
      </x:c>
      <x:c r="B43" s="95" t="str">
        <x:v>AF-R15</x:v>
      </x:c>
      <x:c r="C43" s="95" t="str">
        <x:v>P2</x:v>
      </x:c>
      <x:c r="D43" s="95" t="str">
        <x:v>Air Fryers</x:v>
      </x:c>
      <x:c r="E43" s="95" t="str">
        <x:v>Roundup</x:v>
      </x:c>
      <x:c r="F43" s="95" t="str">
        <x:v>AF-PIL</x:v>
      </x:c>
      <x:c r="G43" s="95" t="str">
        <x:v>best easy to clean air fryer</x:v>
      </x:c>
      <x:c r="H43" s="95" t="str">
        <x:v>Commercial Investigation</x:v>
      </x:c>
      <x:c r="I43" s="95" t="str">
        <x:v>BOFU</x:v>
      </x:c>
      <x:c r="J43" s="95" t="str">
        <x:v>Best Easy-to-Clean Air Fryers</x:v>
      </x:c>
      <x:c r="K43" s="95" t="str">
        <x:v>/best-easy-to-clean-air-fryer/</x:v>
      </x:c>
      <x:c r="L43" s="95" t="str">
        <x:v>High — product table + contextual CTAs</x:v>
      </x:c>
      <x:c r="M43" s="95" t="str">
        <x:v>Article + ItemList + BreadcrumbList</x:v>
      </x:c>
      <x:c r="N43" s="95" t="str">
        <x:v>2,500–4,000</x:v>
      </x:c>
      <x:c r="O43" s="95" t="str">
        <x:v>Original selection methodology; spec verification; decision criteria; custom comparison table; explain exclusions; ideally hands-on notes or documented research.</x:v>
      </x:c>
      <x:c r="P43" s="101" t="str">
        <x:v>Not Started</x:v>
      </x:c>
    </x:row>
    <x:row r="44">
      <x:c r="A44" s="100" t="n">
        <x:v>43</x:v>
      </x:c>
      <x:c r="B44" s="95" t="str">
        <x:v>AF-R16</x:v>
      </x:c>
      <x:c r="C44" s="95" t="str">
        <x:v>P2</x:v>
      </x:c>
      <x:c r="D44" s="95" t="str">
        <x:v>Air Fryers</x:v>
      </x:c>
      <x:c r="E44" s="95" t="str">
        <x:v>Roundup</x:v>
      </x:c>
      <x:c r="F44" s="95" t="str">
        <x:v>AF-PIL</x:v>
      </x:c>
      <x:c r="G44" s="95" t="str">
        <x:v>best air fryer for chicken wings</x:v>
      </x:c>
      <x:c r="H44" s="95" t="str">
        <x:v>Commercial Investigation</x:v>
      </x:c>
      <x:c r="I44" s="95" t="str">
        <x:v>BOFU</x:v>
      </x:c>
      <x:c r="J44" s="95" t="str">
        <x:v>Best Air Fryers for Chicken Wings</x:v>
      </x:c>
      <x:c r="K44" s="95" t="str">
        <x:v>/best-air-fryer-for-chicken-wings/</x:v>
      </x:c>
      <x:c r="L44" s="95" t="str">
        <x:v>High — product table + contextual CTAs</x:v>
      </x:c>
      <x:c r="M44" s="95" t="str">
        <x:v>Article + ItemList + BreadcrumbList</x:v>
      </x:c>
      <x:c r="N44" s="95" t="str">
        <x:v>2,500–4,000</x:v>
      </x:c>
      <x:c r="O44" s="95" t="str">
        <x:v>Original selection methodology; spec verification; decision criteria; custom comparison table; explain exclusions; ideally hands-on notes or documented research.</x:v>
      </x:c>
      <x:c r="P44" s="101" t="str">
        <x:v>Not Started</x:v>
      </x:c>
    </x:row>
    <x:row r="45">
      <x:c r="A45" s="100" t="n">
        <x:v>44</x:v>
      </x:c>
      <x:c r="B45" s="95" t="str">
        <x:v>AF-R17</x:v>
      </x:c>
      <x:c r="C45" s="95" t="str">
        <x:v>P2</x:v>
      </x:c>
      <x:c r="D45" s="95" t="str">
        <x:v>Air Fryers</x:v>
      </x:c>
      <x:c r="E45" s="95" t="str">
        <x:v>Roundup</x:v>
      </x:c>
      <x:c r="F45" s="95" t="str">
        <x:v>AF-PIL</x:v>
      </x:c>
      <x:c r="G45" s="95" t="str">
        <x:v>best air fryer for french fries</x:v>
      </x:c>
      <x:c r="H45" s="95" t="str">
        <x:v>Commercial Investigation</x:v>
      </x:c>
      <x:c r="I45" s="95" t="str">
        <x:v>BOFU</x:v>
      </x:c>
      <x:c r="J45" s="95" t="str">
        <x:v>Best Air Fryers for French Fries</x:v>
      </x:c>
      <x:c r="K45" s="95" t="str">
        <x:v>/best-air-fryer-for-french-fries/</x:v>
      </x:c>
      <x:c r="L45" s="95" t="str">
        <x:v>High — product table + contextual CTAs</x:v>
      </x:c>
      <x:c r="M45" s="95" t="str">
        <x:v>Article + ItemList + BreadcrumbList</x:v>
      </x:c>
      <x:c r="N45" s="95" t="str">
        <x:v>2,500–4,000</x:v>
      </x:c>
      <x:c r="O45" s="95" t="str">
        <x:v>Original selection methodology; spec verification; decision criteria; custom comparison table; explain exclusions; ideally hands-on notes or documented research.</x:v>
      </x:c>
      <x:c r="P45" s="101" t="str">
        <x:v>Not Started</x:v>
      </x:c>
    </x:row>
    <x:row r="46">
      <x:c r="A46" s="100" t="n">
        <x:v>45</x:v>
      </x:c>
      <x:c r="B46" s="95" t="str">
        <x:v>BL-R02</x:v>
      </x:c>
      <x:c r="C46" s="95" t="str">
        <x:v>P2</x:v>
      </x:c>
      <x:c r="D46" s="95" t="str">
        <x:v>Blenders</x:v>
      </x:c>
      <x:c r="E46" s="95" t="str">
        <x:v>Roundup</x:v>
      </x:c>
      <x:c r="F46" s="95" t="str">
        <x:v>BL-PIL</x:v>
      </x:c>
      <x:c r="G46" s="95" t="str">
        <x:v>best blender under $200</x:v>
      </x:c>
      <x:c r="H46" s="95" t="str">
        <x:v>Commercial Investigation</x:v>
      </x:c>
      <x:c r="I46" s="95" t="str">
        <x:v>BOFU</x:v>
      </x:c>
      <x:c r="J46" s="95" t="str">
        <x:v>Best Blenders Under $200</x:v>
      </x:c>
      <x:c r="K46" s="95" t="str">
        <x:v>/best-blender-under-200/</x:v>
      </x:c>
      <x:c r="L46" s="95" t="str">
        <x:v>High — product table + contextual CTAs</x:v>
      </x:c>
      <x:c r="M46" s="95" t="str">
        <x:v>Article + ItemList + BreadcrumbList</x:v>
      </x:c>
      <x:c r="N46" s="95" t="str">
        <x:v>2,500–4,000</x:v>
      </x:c>
      <x:c r="O46" s="95" t="str">
        <x:v>Original selection methodology; spec verification; decision criteria; custom comparison table; explain exclusions; ideally hands-on notes or documented research.</x:v>
      </x:c>
      <x:c r="P46" s="101" t="str">
        <x:v>Not Started</x:v>
      </x:c>
    </x:row>
    <x:row r="47">
      <x:c r="A47" s="100" t="n">
        <x:v>46</x:v>
      </x:c>
      <x:c r="B47" s="95" t="str">
        <x:v>BL-R07</x:v>
      </x:c>
      <x:c r="C47" s="95" t="str">
        <x:v>P2</x:v>
      </x:c>
      <x:c r="D47" s="95" t="str">
        <x:v>Blenders</x:v>
      </x:c>
      <x:c r="E47" s="95" t="str">
        <x:v>Roundup</x:v>
      </x:c>
      <x:c r="F47" s="95" t="str">
        <x:v>BL-PIL</x:v>
      </x:c>
      <x:c r="G47" s="95" t="str">
        <x:v>best blender for protein shakes</x:v>
      </x:c>
      <x:c r="H47" s="95" t="str">
        <x:v>Commercial Investigation</x:v>
      </x:c>
      <x:c r="I47" s="95" t="str">
        <x:v>BOFU</x:v>
      </x:c>
      <x:c r="J47" s="95" t="str">
        <x:v>Best Blenders for Protein Shakes</x:v>
      </x:c>
      <x:c r="K47" s="95" t="str">
        <x:v>/best-blender-for-protein-shakes/</x:v>
      </x:c>
      <x:c r="L47" s="95" t="str">
        <x:v>High — product table + contextual CTAs</x:v>
      </x:c>
      <x:c r="M47" s="95" t="str">
        <x:v>Article + ItemList + BreadcrumbList</x:v>
      </x:c>
      <x:c r="N47" s="95" t="str">
        <x:v>2,500–4,000</x:v>
      </x:c>
      <x:c r="O47" s="95" t="str">
        <x:v>Original selection methodology; spec verification; decision criteria; custom comparison table; explain exclusions; ideally hands-on notes or documented research.</x:v>
      </x:c>
      <x:c r="P47" s="101" t="str">
        <x:v>Not Started</x:v>
      </x:c>
    </x:row>
    <x:row r="48">
      <x:c r="A48" s="100" t="n">
        <x:v>47</x:v>
      </x:c>
      <x:c r="B48" s="95" t="str">
        <x:v>BL-R08</x:v>
      </x:c>
      <x:c r="C48" s="95" t="str">
        <x:v>P2</x:v>
      </x:c>
      <x:c r="D48" s="95" t="str">
        <x:v>Blenders</x:v>
      </x:c>
      <x:c r="E48" s="95" t="str">
        <x:v>Roundup</x:v>
      </x:c>
      <x:c r="F48" s="95" t="str">
        <x:v>BL-PIL</x:v>
      </x:c>
      <x:c r="G48" s="95" t="str">
        <x:v>best blender for nut butter</x:v>
      </x:c>
      <x:c r="H48" s="95" t="str">
        <x:v>Commercial Investigation</x:v>
      </x:c>
      <x:c r="I48" s="95" t="str">
        <x:v>BOFU</x:v>
      </x:c>
      <x:c r="J48" s="95" t="str">
        <x:v>Best Blenders for Nut Butter</x:v>
      </x:c>
      <x:c r="K48" s="95" t="str">
        <x:v>/best-blender-for-nut-butter/</x:v>
      </x:c>
      <x:c r="L48" s="95" t="str">
        <x:v>High — product table + contextual CTAs</x:v>
      </x:c>
      <x:c r="M48" s="95" t="str">
        <x:v>Article + ItemList + BreadcrumbList</x:v>
      </x:c>
      <x:c r="N48" s="95" t="str">
        <x:v>2,500–4,000</x:v>
      </x:c>
      <x:c r="O48" s="95" t="str">
        <x:v>Original selection methodology; spec verification; decision criteria; custom comparison table; explain exclusions; ideally hands-on notes or documented research.</x:v>
      </x:c>
      <x:c r="P48" s="101" t="str">
        <x:v>Not Started</x:v>
      </x:c>
    </x:row>
    <x:row r="49">
      <x:c r="A49" s="100" t="n">
        <x:v>48</x:v>
      </x:c>
      <x:c r="B49" s="95" t="str">
        <x:v>BL-R09</x:v>
      </x:c>
      <x:c r="C49" s="95" t="str">
        <x:v>P2</x:v>
      </x:c>
      <x:c r="D49" s="95" t="str">
        <x:v>Blenders</x:v>
      </x:c>
      <x:c r="E49" s="95" t="str">
        <x:v>Roundup</x:v>
      </x:c>
      <x:c r="F49" s="95" t="str">
        <x:v>BL-PIL</x:v>
      </x:c>
      <x:c r="G49" s="95" t="str">
        <x:v>best blender for hot soup</x:v>
      </x:c>
      <x:c r="H49" s="95" t="str">
        <x:v>Commercial Investigation</x:v>
      </x:c>
      <x:c r="I49" s="95" t="str">
        <x:v>BOFU</x:v>
      </x:c>
      <x:c r="J49" s="95" t="str">
        <x:v>Best Blenders for Hot Soup</x:v>
      </x:c>
      <x:c r="K49" s="95" t="str">
        <x:v>/best-blender-for-hot-soup/</x:v>
      </x:c>
      <x:c r="L49" s="95" t="str">
        <x:v>High — product table + contextual CTAs</x:v>
      </x:c>
      <x:c r="M49" s="95" t="str">
        <x:v>Article + ItemList + BreadcrumbList</x:v>
      </x:c>
      <x:c r="N49" s="95" t="str">
        <x:v>2,500–4,000</x:v>
      </x:c>
      <x:c r="O49" s="95" t="str">
        <x:v>Original selection methodology; spec verification; decision criteria; custom comparison table; explain exclusions; ideally hands-on notes or documented research.</x:v>
      </x:c>
      <x:c r="P49" s="101" t="str">
        <x:v>Not Started</x:v>
      </x:c>
    </x:row>
    <x:row r="50">
      <x:c r="A50" s="100" t="n">
        <x:v>49</x:v>
      </x:c>
      <x:c r="B50" s="95" t="str">
        <x:v>BL-R10</x:v>
      </x:c>
      <x:c r="C50" s="95" t="str">
        <x:v>P2</x:v>
      </x:c>
      <x:c r="D50" s="95" t="str">
        <x:v>Blenders</x:v>
      </x:c>
      <x:c r="E50" s="95" t="str">
        <x:v>Roundup</x:v>
      </x:c>
      <x:c r="F50" s="95" t="str">
        <x:v>BL-PIL</x:v>
      </x:c>
      <x:c r="G50" s="95" t="str">
        <x:v>quietest blender</x:v>
      </x:c>
      <x:c r="H50" s="95" t="str">
        <x:v>Commercial Investigation</x:v>
      </x:c>
      <x:c r="I50" s="95" t="str">
        <x:v>BOFU</x:v>
      </x:c>
      <x:c r="J50" s="95" t="str">
        <x:v>Best Quiet Blenders</x:v>
      </x:c>
      <x:c r="K50" s="95" t="str">
        <x:v>/quietest-blender/</x:v>
      </x:c>
      <x:c r="L50" s="95" t="str">
        <x:v>High — product table + contextual CTAs</x:v>
      </x:c>
      <x:c r="M50" s="95" t="str">
        <x:v>Article + ItemList + BreadcrumbList</x:v>
      </x:c>
      <x:c r="N50" s="95" t="str">
        <x:v>2,500–4,000</x:v>
      </x:c>
      <x:c r="O50" s="95" t="str">
        <x:v>Original selection methodology; spec verification; decision criteria; custom comparison table; explain exclusions; ideally hands-on notes or documented research.</x:v>
      </x:c>
      <x:c r="P50" s="101" t="str">
        <x:v>Not Started</x:v>
      </x:c>
    </x:row>
    <x:row r="51">
      <x:c r="A51" s="100" t="n">
        <x:v>50</x:v>
      </x:c>
      <x:c r="B51" s="95" t="str">
        <x:v>BL-R11</x:v>
      </x:c>
      <x:c r="C51" s="95" t="str">
        <x:v>P2</x:v>
      </x:c>
      <x:c r="D51" s="95" t="str">
        <x:v>Blenders</x:v>
      </x:c>
      <x:c r="E51" s="95" t="str">
        <x:v>Roundup</x:v>
      </x:c>
      <x:c r="F51" s="95" t="str">
        <x:v>BL-PIL</x:v>
      </x:c>
      <x:c r="G51" s="95" t="str">
        <x:v>best blender with glass jar</x:v>
      </x:c>
      <x:c r="H51" s="95" t="str">
        <x:v>Commercial Investigation</x:v>
      </x:c>
      <x:c r="I51" s="95" t="str">
        <x:v>BOFU</x:v>
      </x:c>
      <x:c r="J51" s="95" t="str">
        <x:v>Best Blenders with Glass Jars</x:v>
      </x:c>
      <x:c r="K51" s="95" t="str">
        <x:v>/best-blender-with-glass-jar/</x:v>
      </x:c>
      <x:c r="L51" s="95" t="str">
        <x:v>High — product table + contextual CTAs</x:v>
      </x:c>
      <x:c r="M51" s="95" t="str">
        <x:v>Article + ItemList + BreadcrumbList</x:v>
      </x:c>
      <x:c r="N51" s="95" t="str">
        <x:v>2,500–4,000</x:v>
      </x:c>
      <x:c r="O51" s="95" t="str">
        <x:v>Original selection methodology; spec verification; decision criteria; custom comparison table; explain exclusions; ideally hands-on notes or documented research.</x:v>
      </x:c>
      <x:c r="P51" s="101" t="str">
        <x:v>Not Started</x:v>
      </x:c>
    </x:row>
    <x:row r="52">
      <x:c r="A52" s="100" t="n">
        <x:v>51</x:v>
      </x:c>
      <x:c r="B52" s="95" t="str">
        <x:v>BL-R12</x:v>
      </x:c>
      <x:c r="C52" s="95" t="str">
        <x:v>P2</x:v>
      </x:c>
      <x:c r="D52" s="95" t="str">
        <x:v>Blenders</x:v>
      </x:c>
      <x:c r="E52" s="95" t="str">
        <x:v>Roundup</x:v>
      </x:c>
      <x:c r="F52" s="95" t="str">
        <x:v>BL-PIL</x:v>
      </x:c>
      <x:c r="G52" s="95" t="str">
        <x:v>best compact blender</x:v>
      </x:c>
      <x:c r="H52" s="95" t="str">
        <x:v>Commercial Investigation</x:v>
      </x:c>
      <x:c r="I52" s="95" t="str">
        <x:v>BOFU</x:v>
      </x:c>
      <x:c r="J52" s="95" t="str">
        <x:v>Best Compact Blenders for Small Kitchens</x:v>
      </x:c>
      <x:c r="K52" s="95" t="str">
        <x:v>/best-compact-blender/</x:v>
      </x:c>
      <x:c r="L52" s="95" t="str">
        <x:v>High — product table + contextual CTAs</x:v>
      </x:c>
      <x:c r="M52" s="95" t="str">
        <x:v>Article + ItemList + BreadcrumbList</x:v>
      </x:c>
      <x:c r="N52" s="95" t="str">
        <x:v>2,500–4,000</x:v>
      </x:c>
      <x:c r="O52" s="95" t="str">
        <x:v>Original selection methodology; spec verification; decision criteria; custom comparison table; explain exclusions; ideally hands-on notes or documented research.</x:v>
      </x:c>
      <x:c r="P52" s="101" t="str">
        <x:v>Not Started</x:v>
      </x:c>
    </x:row>
    <x:row r="53">
      <x:c r="A53" s="100" t="n">
        <x:v>52</x:v>
      </x:c>
      <x:c r="B53" s="95" t="str">
        <x:v>EK-R01</x:v>
      </x:c>
      <x:c r="C53" s="95" t="str">
        <x:v>P2</x:v>
      </x:c>
      <x:c r="D53" s="95" t="str">
        <x:v>Electric Kettles</x:v>
      </x:c>
      <x:c r="E53" s="95" t="str">
        <x:v>Roundup</x:v>
      </x:c>
      <x:c r="F53" s="95" t="str">
        <x:v>EK-PIL</x:v>
      </x:c>
      <x:c r="G53" s="95" t="str">
        <x:v>best electric kettle under $50</x:v>
      </x:c>
      <x:c r="H53" s="95" t="str">
        <x:v>Commercial Investigation</x:v>
      </x:c>
      <x:c r="I53" s="95" t="str">
        <x:v>BOFU</x:v>
      </x:c>
      <x:c r="J53" s="95" t="str">
        <x:v>Best Electric Kettles Under $50</x:v>
      </x:c>
      <x:c r="K53" s="95" t="str">
        <x:v>/best-electric-kettle-under-50/</x:v>
      </x:c>
      <x:c r="L53" s="95" t="str">
        <x:v>High — product table + contextual CTAs</x:v>
      </x:c>
      <x:c r="M53" s="95" t="str">
        <x:v>Article + ItemList + BreadcrumbList</x:v>
      </x:c>
      <x:c r="N53" s="95" t="str">
        <x:v>2,500–4,000</x:v>
      </x:c>
      <x:c r="O53" s="95" t="str">
        <x:v>Original selection methodology; spec verification; decision criteria; custom comparison table; explain exclusions; ideally hands-on notes or documented research.</x:v>
      </x:c>
      <x:c r="P53" s="101" t="str">
        <x:v>Not Started</x:v>
      </x:c>
    </x:row>
    <x:row r="54">
      <x:c r="A54" s="100" t="n">
        <x:v>53</x:v>
      </x:c>
      <x:c r="B54" s="95" t="str">
        <x:v>EK-R02</x:v>
      </x:c>
      <x:c r="C54" s="95" t="str">
        <x:v>P2</x:v>
      </x:c>
      <x:c r="D54" s="95" t="str">
        <x:v>Electric Kettles</x:v>
      </x:c>
      <x:c r="E54" s="95" t="str">
        <x:v>Roundup</x:v>
      </x:c>
      <x:c r="F54" s="95" t="str">
        <x:v>EK-PIL</x:v>
      </x:c>
      <x:c r="G54" s="95" t="str">
        <x:v>best gooseneck kettle</x:v>
      </x:c>
      <x:c r="H54" s="95" t="str">
        <x:v>Commercial Investigation</x:v>
      </x:c>
      <x:c r="I54" s="95" t="str">
        <x:v>BOFU</x:v>
      </x:c>
      <x:c r="J54" s="95" t="str">
        <x:v>Best Gooseneck Kettles</x:v>
      </x:c>
      <x:c r="K54" s="95" t="str">
        <x:v>/best-gooseneck-kettle/</x:v>
      </x:c>
      <x:c r="L54" s="95" t="str">
        <x:v>High — product table + contextual CTAs</x:v>
      </x:c>
      <x:c r="M54" s="95" t="str">
        <x:v>Article + ItemList + BreadcrumbList</x:v>
      </x:c>
      <x:c r="N54" s="95" t="str">
        <x:v>2,500–4,000</x:v>
      </x:c>
      <x:c r="O54" s="95" t="str">
        <x:v>Original selection methodology; spec verification; decision criteria; custom comparison table; explain exclusions; ideally hands-on notes or documented research.</x:v>
      </x:c>
      <x:c r="P54" s="101" t="str">
        <x:v>Not Started</x:v>
      </x:c>
    </x:row>
    <x:row r="55">
      <x:c r="A55" s="100" t="n">
        <x:v>54</x:v>
      </x:c>
      <x:c r="B55" s="95" t="str">
        <x:v>EK-R03</x:v>
      </x:c>
      <x:c r="C55" s="95" t="str">
        <x:v>P2</x:v>
      </x:c>
      <x:c r="D55" s="95" t="str">
        <x:v>Electric Kettles</x:v>
      </x:c>
      <x:c r="E55" s="95" t="str">
        <x:v>Roundup</x:v>
      </x:c>
      <x:c r="F55" s="95" t="str">
        <x:v>EK-PIL</x:v>
      </x:c>
      <x:c r="G55" s="95" t="str">
        <x:v>best electric kettle for tea</x:v>
      </x:c>
      <x:c r="H55" s="95" t="str">
        <x:v>Commercial Investigation</x:v>
      </x:c>
      <x:c r="I55" s="95" t="str">
        <x:v>BOFU</x:v>
      </x:c>
      <x:c r="J55" s="95" t="str">
        <x:v>Best Electric Kettles for Tea</x:v>
      </x:c>
      <x:c r="K55" s="95" t="str">
        <x:v>/best-electric-kettle-for-tea/</x:v>
      </x:c>
      <x:c r="L55" s="95" t="str">
        <x:v>High — product table + contextual CTAs</x:v>
      </x:c>
      <x:c r="M55" s="95" t="str">
        <x:v>Article + ItemList + BreadcrumbList</x:v>
      </x:c>
      <x:c r="N55" s="95" t="str">
        <x:v>2,500–4,000</x:v>
      </x:c>
      <x:c r="O55" s="95" t="str">
        <x:v>Original selection methodology; spec verification; decision criteria; custom comparison table; explain exclusions; ideally hands-on notes or documented research.</x:v>
      </x:c>
      <x:c r="P55" s="101" t="str">
        <x:v>Not Started</x:v>
      </x:c>
    </x:row>
    <x:row r="56">
      <x:c r="A56" s="100" t="n">
        <x:v>55</x:v>
      </x:c>
      <x:c r="B56" s="95" t="str">
        <x:v>EK-R04</x:v>
      </x:c>
      <x:c r="C56" s="95" t="str">
        <x:v>P2</x:v>
      </x:c>
      <x:c r="D56" s="95" t="str">
        <x:v>Electric Kettles</x:v>
      </x:c>
      <x:c r="E56" s="95" t="str">
        <x:v>Roundup</x:v>
      </x:c>
      <x:c r="F56" s="95" t="str">
        <x:v>EK-PIL</x:v>
      </x:c>
      <x:c r="G56" s="95" t="str">
        <x:v>best electric kettle for pour over coffee</x:v>
      </x:c>
      <x:c r="H56" s="95" t="str">
        <x:v>Commercial Investigation</x:v>
      </x:c>
      <x:c r="I56" s="95" t="str">
        <x:v>BOFU</x:v>
      </x:c>
      <x:c r="J56" s="95" t="str">
        <x:v>Best Electric Kettles for Pour-Over Coffee</x:v>
      </x:c>
      <x:c r="K56" s="95" t="str">
        <x:v>/best-electric-kettle-for-pour-over-coffee/</x:v>
      </x:c>
      <x:c r="L56" s="95" t="str">
        <x:v>High — product table + contextual CTAs</x:v>
      </x:c>
      <x:c r="M56" s="95" t="str">
        <x:v>Article + ItemList + BreadcrumbList</x:v>
      </x:c>
      <x:c r="N56" s="95" t="str">
        <x:v>2,500–4,000</x:v>
      </x:c>
      <x:c r="O56" s="95" t="str">
        <x:v>Original selection methodology; spec verification; decision criteria; custom comparison table; explain exclusions; ideally hands-on notes or documented research.</x:v>
      </x:c>
      <x:c r="P56" s="101" t="str">
        <x:v>Not Started</x:v>
      </x:c>
    </x:row>
    <x:row r="57">
      <x:c r="A57" s="100" t="n">
        <x:v>56</x:v>
      </x:c>
      <x:c r="B57" s="95" t="str">
        <x:v>EK-R05</x:v>
      </x:c>
      <x:c r="C57" s="95" t="str">
        <x:v>P2</x:v>
      </x:c>
      <x:c r="D57" s="95" t="str">
        <x:v>Electric Kettles</x:v>
      </x:c>
      <x:c r="E57" s="95" t="str">
        <x:v>Roundup</x:v>
      </x:c>
      <x:c r="F57" s="95" t="str">
        <x:v>EK-PIL</x:v>
      </x:c>
      <x:c r="G57" s="95" t="str">
        <x:v>best variable temperature kettle</x:v>
      </x:c>
      <x:c r="H57" s="95" t="str">
        <x:v>Commercial Investigation</x:v>
      </x:c>
      <x:c r="I57" s="95" t="str">
        <x:v>BOFU</x:v>
      </x:c>
      <x:c r="J57" s="95" t="str">
        <x:v>Best Variable Temperature Kettles</x:v>
      </x:c>
      <x:c r="K57" s="95" t="str">
        <x:v>/best-variable-temperature-kettle/</x:v>
      </x:c>
      <x:c r="L57" s="95" t="str">
        <x:v>High — product table + contextual CTAs</x:v>
      </x:c>
      <x:c r="M57" s="95" t="str">
        <x:v>Article + ItemList + BreadcrumbList</x:v>
      </x:c>
      <x:c r="N57" s="95" t="str">
        <x:v>2,500–4,000</x:v>
      </x:c>
      <x:c r="O57" s="95" t="str">
        <x:v>Original selection methodology; spec verification; decision criteria; custom comparison table; explain exclusions; ideally hands-on notes or documented research.</x:v>
      </x:c>
      <x:c r="P57" s="101" t="str">
        <x:v>Not Started</x:v>
      </x:c>
    </x:row>
    <x:row r="58">
      <x:c r="A58" s="100" t="n">
        <x:v>57</x:v>
      </x:c>
      <x:c r="B58" s="95" t="str">
        <x:v>TO-R01</x:v>
      </x:c>
      <x:c r="C58" s="95" t="str">
        <x:v>P2</x:v>
      </x:c>
      <x:c r="D58" s="95" t="str">
        <x:v>Toaster Ovens</x:v>
      </x:c>
      <x:c r="E58" s="95" t="str">
        <x:v>Roundup</x:v>
      </x:c>
      <x:c r="F58" s="95" t="str">
        <x:v>TO-PIL</x:v>
      </x:c>
      <x:c r="G58" s="95" t="str">
        <x:v>best toaster oven under $100</x:v>
      </x:c>
      <x:c r="H58" s="95" t="str">
        <x:v>Commercial Investigation</x:v>
      </x:c>
      <x:c r="I58" s="95" t="str">
        <x:v>BOFU</x:v>
      </x:c>
      <x:c r="J58" s="95" t="str">
        <x:v>Best Toaster Ovens Under $100</x:v>
      </x:c>
      <x:c r="K58" s="95" t="str">
        <x:v>/best-toaster-oven-under-100/</x:v>
      </x:c>
      <x:c r="L58" s="95" t="str">
        <x:v>High — product table + contextual CTAs</x:v>
      </x:c>
      <x:c r="M58" s="95" t="str">
        <x:v>Article + ItemList + BreadcrumbList</x:v>
      </x:c>
      <x:c r="N58" s="95" t="str">
        <x:v>2,500–4,000</x:v>
      </x:c>
      <x:c r="O58" s="95" t="str">
        <x:v>Original selection methodology; spec verification; decision criteria; custom comparison table; explain exclusions; ideally hands-on notes or documented research.</x:v>
      </x:c>
      <x:c r="P58" s="101" t="str">
        <x:v>Not Started</x:v>
      </x:c>
    </x:row>
    <x:row r="59">
      <x:c r="A59" s="100" t="n">
        <x:v>58</x:v>
      </x:c>
      <x:c r="B59" s="95" t="str">
        <x:v>TO-R02</x:v>
      </x:c>
      <x:c r="C59" s="95" t="str">
        <x:v>P2</x:v>
      </x:c>
      <x:c r="D59" s="95" t="str">
        <x:v>Toaster Ovens</x:v>
      </x:c>
      <x:c r="E59" s="95" t="str">
        <x:v>Roundup</x:v>
      </x:c>
      <x:c r="F59" s="95" t="str">
        <x:v>TO-PIL</x:v>
      </x:c>
      <x:c r="G59" s="95" t="str">
        <x:v>best toaster oven under $200</x:v>
      </x:c>
      <x:c r="H59" s="95" t="str">
        <x:v>Commercial Investigation</x:v>
      </x:c>
      <x:c r="I59" s="95" t="str">
        <x:v>BOFU</x:v>
      </x:c>
      <x:c r="J59" s="95" t="str">
        <x:v>Best Toaster Ovens Under $200</x:v>
      </x:c>
      <x:c r="K59" s="95" t="str">
        <x:v>/best-toaster-oven-under-200/</x:v>
      </x:c>
      <x:c r="L59" s="95" t="str">
        <x:v>High — product table + contextual CTAs</x:v>
      </x:c>
      <x:c r="M59" s="95" t="str">
        <x:v>Article + ItemList + BreadcrumbList</x:v>
      </x:c>
      <x:c r="N59" s="95" t="str">
        <x:v>2,500–4,000</x:v>
      </x:c>
      <x:c r="O59" s="95" t="str">
        <x:v>Original selection methodology; spec verification; decision criteria; custom comparison table; explain exclusions; ideally hands-on notes or documented research.</x:v>
      </x:c>
      <x:c r="P59" s="101" t="str">
        <x:v>Not Started</x:v>
      </x:c>
    </x:row>
    <x:row r="60">
      <x:c r="A60" s="100" t="n">
        <x:v>59</x:v>
      </x:c>
      <x:c r="B60" s="95" t="str">
        <x:v>TO-R03</x:v>
      </x:c>
      <x:c r="C60" s="95" t="str">
        <x:v>P2</x:v>
      </x:c>
      <x:c r="D60" s="95" t="str">
        <x:v>Toaster Ovens</x:v>
      </x:c>
      <x:c r="E60" s="95" t="str">
        <x:v>Roundup</x:v>
      </x:c>
      <x:c r="F60" s="95" t="str">
        <x:v>TO-PIL</x:v>
      </x:c>
      <x:c r="G60" s="95" t="str">
        <x:v>best small toaster oven</x:v>
      </x:c>
      <x:c r="H60" s="95" t="str">
        <x:v>Commercial Investigation</x:v>
      </x:c>
      <x:c r="I60" s="95" t="str">
        <x:v>BOFU</x:v>
      </x:c>
      <x:c r="J60" s="95" t="str">
        <x:v>Best Small Toaster Ovens</x:v>
      </x:c>
      <x:c r="K60" s="95" t="str">
        <x:v>/best-small-toaster-oven/</x:v>
      </x:c>
      <x:c r="L60" s="95" t="str">
        <x:v>High — product table + contextual CTAs</x:v>
      </x:c>
      <x:c r="M60" s="95" t="str">
        <x:v>Article + ItemList + BreadcrumbList</x:v>
      </x:c>
      <x:c r="N60" s="95" t="str">
        <x:v>2,500–4,000</x:v>
      </x:c>
      <x:c r="O60" s="95" t="str">
        <x:v>Original selection methodology; spec verification; decision criteria; custom comparison table; explain exclusions; ideally hands-on notes or documented research.</x:v>
      </x:c>
      <x:c r="P60" s="101" t="str">
        <x:v>Not Started</x:v>
      </x:c>
    </x:row>
    <x:row r="61">
      <x:c r="A61" s="100" t="n">
        <x:v>60</x:v>
      </x:c>
      <x:c r="B61" s="95" t="str">
        <x:v>TO-R04</x:v>
      </x:c>
      <x:c r="C61" s="95" t="str">
        <x:v>P2</x:v>
      </x:c>
      <x:c r="D61" s="95" t="str">
        <x:v>Toaster Ovens</x:v>
      </x:c>
      <x:c r="E61" s="95" t="str">
        <x:v>Roundup</x:v>
      </x:c>
      <x:c r="F61" s="95" t="str">
        <x:v>TO-PIL</x:v>
      </x:c>
      <x:c r="G61" s="95" t="str">
        <x:v>best toaster oven for baking</x:v>
      </x:c>
      <x:c r="H61" s="95" t="str">
        <x:v>Commercial Investigation</x:v>
      </x:c>
      <x:c r="I61" s="95" t="str">
        <x:v>BOFU</x:v>
      </x:c>
      <x:c r="J61" s="95" t="str">
        <x:v>Best Toaster Ovens for Baking</x:v>
      </x:c>
      <x:c r="K61" s="95" t="str">
        <x:v>/best-toaster-oven-for-baking/</x:v>
      </x:c>
      <x:c r="L61" s="95" t="str">
        <x:v>High — product table + contextual CTAs</x:v>
      </x:c>
      <x:c r="M61" s="95" t="str">
        <x:v>Article + ItemList + BreadcrumbList</x:v>
      </x:c>
      <x:c r="N61" s="95" t="str">
        <x:v>2,500–4,000</x:v>
      </x:c>
      <x:c r="O61" s="95" t="str">
        <x:v>Original selection methodology; spec verification; decision criteria; custom comparison table; explain exclusions; ideally hands-on notes or documented research.</x:v>
      </x:c>
      <x:c r="P61" s="101" t="str">
        <x:v>Not Started</x:v>
      </x:c>
    </x:row>
    <x:row r="62">
      <x:c r="A62" s="100" t="n">
        <x:v>61</x:v>
      </x:c>
      <x:c r="B62" s="95" t="str">
        <x:v>TO-R06</x:v>
      </x:c>
      <x:c r="C62" s="95" t="str">
        <x:v>P2</x:v>
      </x:c>
      <x:c r="D62" s="95" t="str">
        <x:v>Toaster Ovens</x:v>
      </x:c>
      <x:c r="E62" s="95" t="str">
        <x:v>Roundup</x:v>
      </x:c>
      <x:c r="F62" s="95" t="str">
        <x:v>TO-PIL</x:v>
      </x:c>
      <x:c r="G62" s="95" t="str">
        <x:v>best air fryer toaster oven</x:v>
      </x:c>
      <x:c r="H62" s="95" t="str">
        <x:v>Commercial Investigation</x:v>
      </x:c>
      <x:c r="I62" s="95" t="str">
        <x:v>BOFU</x:v>
      </x:c>
      <x:c r="J62" s="95" t="str">
        <x:v>Best Air Fryer Toaster Ovens</x:v>
      </x:c>
      <x:c r="K62" s="95" t="str">
        <x:v>/best-air-fryer-toaster-oven/</x:v>
      </x:c>
      <x:c r="L62" s="95" t="str">
        <x:v>High — product table + contextual CTAs</x:v>
      </x:c>
      <x:c r="M62" s="95" t="str">
        <x:v>Article + ItemList + BreadcrumbList</x:v>
      </x:c>
      <x:c r="N62" s="95" t="str">
        <x:v>2,500–4,000</x:v>
      </x:c>
      <x:c r="O62" s="95" t="str">
        <x:v>Original selection methodology; spec verification; decision criteria; custom comparison table; explain exclusions; ideally hands-on notes or documented research.</x:v>
      </x:c>
      <x:c r="P62" s="101" t="str">
        <x:v>Not Started</x:v>
      </x:c>
    </x:row>
    <x:row r="63">
      <x:c r="A63" s="100" t="n">
        <x:v>62</x:v>
      </x:c>
      <x:c r="B63" s="95" t="str">
        <x:v>AF-C02</x:v>
      </x:c>
      <x:c r="C63" s="95" t="str">
        <x:v>P2</x:v>
      </x:c>
      <x:c r="D63" s="95" t="str">
        <x:v>Air Fryers</x:v>
      </x:c>
      <x:c r="E63" s="95" t="str">
        <x:v>Comparison</x:v>
      </x:c>
      <x:c r="F63" s="95" t="str">
        <x:v>AF-PIL</x:v>
      </x:c>
      <x:c r="G63" s="95" t="str">
        <x:v>instant vortex vs ninja air fryer</x:v>
      </x:c>
      <x:c r="H63" s="95" t="str">
        <x:v>Commercial Investigation</x:v>
      </x:c>
      <x:c r="I63" s="95" t="str">
        <x:v>BOFU</x:v>
      </x:c>
      <x:c r="J63" s="95" t="str">
        <x:v>Instant Vortex vs Ninja Air Fryer</x:v>
      </x:c>
      <x:c r="K63" s="95" t="str">
        <x:v>/instant-vortex-vs-ninja-air-fryer/</x:v>
      </x:c>
      <x:c r="L63" s="95" t="str">
        <x:v>High — both products + winner CTAs</x:v>
      </x:c>
      <x:c r="M63" s="95" t="str">
        <x:v>Article + ItemList + BreadcrumbList</x:v>
      </x:c>
      <x:c r="N63" s="95" t="str">
        <x:v>2,000–3,000</x:v>
      </x:c>
      <x:c r="O63" s="95" t="str">
        <x:v>Side-by-side criteria, validated specs, task-based winner logic, price checked date, clear uncertainty.</x:v>
      </x:c>
      <x:c r="P63" s="101" t="str">
        <x:v>Not Started</x:v>
      </x:c>
    </x:row>
    <x:row r="64">
      <x:c r="A64" s="100" t="n">
        <x:v>63</x:v>
      </x:c>
      <x:c r="B64" s="95" t="str">
        <x:v>AF-C04</x:v>
      </x:c>
      <x:c r="C64" s="95" t="str">
        <x:v>P2</x:v>
      </x:c>
      <x:c r="D64" s="95" t="str">
        <x:v>Air Fryers</x:v>
      </x:c>
      <x:c r="E64" s="95" t="str">
        <x:v>Comparison</x:v>
      </x:c>
      <x:c r="F64" s="95" t="str">
        <x:v>AF-PIL</x:v>
      </x:c>
      <x:c r="G64" s="95" t="str">
        <x:v>single vs dual basket air fryer</x:v>
      </x:c>
      <x:c r="H64" s="95" t="str">
        <x:v>Commercial Investigation</x:v>
      </x:c>
      <x:c r="I64" s="95" t="str">
        <x:v>BOFU</x:v>
      </x:c>
      <x:c r="J64" s="95" t="str">
        <x:v>Single Basket vs Dual Basket Air Fryer</x:v>
      </x:c>
      <x:c r="K64" s="95" t="str">
        <x:v>/single-vs-dual-basket-air-fryer/</x:v>
      </x:c>
      <x:c r="L64" s="95" t="str">
        <x:v>High — both products + winner CTAs</x:v>
      </x:c>
      <x:c r="M64" s="95" t="str">
        <x:v>Article + ItemList + BreadcrumbList</x:v>
      </x:c>
      <x:c r="N64" s="95" t="str">
        <x:v>2,000–3,000</x:v>
      </x:c>
      <x:c r="O64" s="95" t="str">
        <x:v>Side-by-side criteria, validated specs, task-based winner logic, price checked date, clear uncertainty.</x:v>
      </x:c>
      <x:c r="P64" s="101" t="str">
        <x:v>Not Started</x:v>
      </x:c>
    </x:row>
    <x:row r="65">
      <x:c r="A65" s="100" t="n">
        <x:v>64</x:v>
      </x:c>
      <x:c r="B65" s="95" t="str">
        <x:v>AF-C05</x:v>
      </x:c>
      <x:c r="C65" s="95" t="str">
        <x:v>P2</x:v>
      </x:c>
      <x:c r="D65" s="95" t="str">
        <x:v>Air Fryers</x:v>
      </x:c>
      <x:c r="E65" s="95" t="str">
        <x:v>Comparison</x:v>
      </x:c>
      <x:c r="F65" s="95" t="str">
        <x:v>AF-PIL</x:v>
      </x:c>
      <x:c r="G65" s="95" t="str">
        <x:v>4 qt vs 6 qt air fryer</x:v>
      </x:c>
      <x:c r="H65" s="95" t="str">
        <x:v>Commercial Investigation</x:v>
      </x:c>
      <x:c r="I65" s="95" t="str">
        <x:v>BOFU</x:v>
      </x:c>
      <x:c r="J65" s="95" t="str">
        <x:v>4-Quart vs 6-Quart Air Fryer</x:v>
      </x:c>
      <x:c r="K65" s="95" t="str">
        <x:v>/4-qt-vs-6-qt-air-fryer/</x:v>
      </x:c>
      <x:c r="L65" s="95" t="str">
        <x:v>High — both products + winner CTAs</x:v>
      </x:c>
      <x:c r="M65" s="95" t="str">
        <x:v>Article + ItemList + BreadcrumbList</x:v>
      </x:c>
      <x:c r="N65" s="95" t="str">
        <x:v>2,000–3,000</x:v>
      </x:c>
      <x:c r="O65" s="95" t="str">
        <x:v>Side-by-side criteria, validated specs, task-based winner logic, price checked date, clear uncertainty.</x:v>
      </x:c>
      <x:c r="P65" s="101" t="str">
        <x:v>Not Started</x:v>
      </x:c>
    </x:row>
    <x:row r="66">
      <x:c r="A66" s="100" t="n">
        <x:v>65</x:v>
      </x:c>
      <x:c r="B66" s="95" t="str">
        <x:v>AF-C06</x:v>
      </x:c>
      <x:c r="C66" s="95" t="str">
        <x:v>P2</x:v>
      </x:c>
      <x:c r="D66" s="95" t="str">
        <x:v>Air Fryers</x:v>
      </x:c>
      <x:c r="E66" s="95" t="str">
        <x:v>Comparison</x:v>
      </x:c>
      <x:c r="F66" s="95" t="str">
        <x:v>AF-PIL</x:v>
      </x:c>
      <x:c r="G66" s="95" t="str">
        <x:v>air fryer vs convection oven</x:v>
      </x:c>
      <x:c r="H66" s="95" t="str">
        <x:v>Commercial Investigation</x:v>
      </x:c>
      <x:c r="I66" s="95" t="str">
        <x:v>BOFU</x:v>
      </x:c>
      <x:c r="J66" s="95" t="str">
        <x:v>Air Fryer vs Convection Oven</x:v>
      </x:c>
      <x:c r="K66" s="95" t="str">
        <x:v>/air-fryer-vs-convection-oven/</x:v>
      </x:c>
      <x:c r="L66" s="95" t="str">
        <x:v>High — both products + winner CTAs</x:v>
      </x:c>
      <x:c r="M66" s="95" t="str">
        <x:v>Article + ItemList + BreadcrumbList</x:v>
      </x:c>
      <x:c r="N66" s="95" t="str">
        <x:v>2,000–3,000</x:v>
      </x:c>
      <x:c r="O66" s="95" t="str">
        <x:v>Side-by-side criteria, validated specs, task-based winner logic, price checked date, clear uncertainty.</x:v>
      </x:c>
      <x:c r="P66" s="101" t="str">
        <x:v>Not Started</x:v>
      </x:c>
    </x:row>
    <x:row r="67">
      <x:c r="A67" s="100" t="n">
        <x:v>66</x:v>
      </x:c>
      <x:c r="B67" s="95" t="str">
        <x:v>AF-C07</x:v>
      </x:c>
      <x:c r="C67" s="95" t="str">
        <x:v>P2</x:v>
      </x:c>
      <x:c r="D67" s="95" t="str">
        <x:v>Air Fryers</x:v>
      </x:c>
      <x:c r="E67" s="95" t="str">
        <x:v>Comparison</x:v>
      </x:c>
      <x:c r="F67" s="95" t="str">
        <x:v>AF-PIL</x:v>
      </x:c>
      <x:c r="G67" s="95" t="str">
        <x:v>air fryer vs toaster oven</x:v>
      </x:c>
      <x:c r="H67" s="95" t="str">
        <x:v>Commercial Investigation</x:v>
      </x:c>
      <x:c r="I67" s="95" t="str">
        <x:v>BOFU</x:v>
      </x:c>
      <x:c r="J67" s="95" t="str">
        <x:v>Air Fryer vs Toaster Oven</x:v>
      </x:c>
      <x:c r="K67" s="95" t="str">
        <x:v>/air-fryer-vs-toaster-oven/</x:v>
      </x:c>
      <x:c r="L67" s="95" t="str">
        <x:v>High — both products + winner CTAs</x:v>
      </x:c>
      <x:c r="M67" s="95" t="str">
        <x:v>Article + ItemList + BreadcrumbList</x:v>
      </x:c>
      <x:c r="N67" s="95" t="str">
        <x:v>2,000–3,000</x:v>
      </x:c>
      <x:c r="O67" s="95" t="str">
        <x:v>Side-by-side criteria, validated specs, task-based winner logic, price checked date, clear uncertainty.</x:v>
      </x:c>
      <x:c r="P67" s="101" t="str">
        <x:v>Not Started</x:v>
      </x:c>
    </x:row>
    <x:row r="68">
      <x:c r="A68" s="100" t="n">
        <x:v>67</x:v>
      </x:c>
      <x:c r="B68" s="95" t="str">
        <x:v>BL-C03</x:v>
      </x:c>
      <x:c r="C68" s="95" t="str">
        <x:v>P2</x:v>
      </x:c>
      <x:c r="D68" s="95" t="str">
        <x:v>Blenders</x:v>
      </x:c>
      <x:c r="E68" s="95" t="str">
        <x:v>Comparison</x:v>
      </x:c>
      <x:c r="F68" s="95" t="str">
        <x:v>BL-PIL</x:v>
      </x:c>
      <x:c r="G68" s="95" t="str">
        <x:v>personal blender vs full size blender</x:v>
      </x:c>
      <x:c r="H68" s="95" t="str">
        <x:v>Commercial Investigation</x:v>
      </x:c>
      <x:c r="I68" s="95" t="str">
        <x:v>BOFU</x:v>
      </x:c>
      <x:c r="J68" s="95" t="str">
        <x:v>Personal Blender vs Full-Size Blender</x:v>
      </x:c>
      <x:c r="K68" s="95" t="str">
        <x:v>/personal-blender-vs-full-size-blender/</x:v>
      </x:c>
      <x:c r="L68" s="95" t="str">
        <x:v>High — both products + winner CTAs</x:v>
      </x:c>
      <x:c r="M68" s="95" t="str">
        <x:v>Article + ItemList + BreadcrumbList</x:v>
      </x:c>
      <x:c r="N68" s="95" t="str">
        <x:v>2,000–3,000</x:v>
      </x:c>
      <x:c r="O68" s="95" t="str">
        <x:v>Side-by-side criteria, validated specs, task-based winner logic, price checked date, clear uncertainty.</x:v>
      </x:c>
      <x:c r="P68" s="101" t="str">
        <x:v>Not Started</x:v>
      </x:c>
    </x:row>
    <x:row r="69">
      <x:c r="A69" s="100" t="n">
        <x:v>68</x:v>
      </x:c>
      <x:c r="B69" s="95" t="str">
        <x:v>BL-C04</x:v>
      </x:c>
      <x:c r="C69" s="95" t="str">
        <x:v>P2</x:v>
      </x:c>
      <x:c r="D69" s="95" t="str">
        <x:v>Blenders</x:v>
      </x:c>
      <x:c r="E69" s="95" t="str">
        <x:v>Comparison</x:v>
      </x:c>
      <x:c r="F69" s="95" t="str">
        <x:v>BL-PIL</x:v>
      </x:c>
      <x:c r="G69" s="95" t="str">
        <x:v>glass vs plastic blender jar</x:v>
      </x:c>
      <x:c r="H69" s="95" t="str">
        <x:v>Commercial Investigation</x:v>
      </x:c>
      <x:c r="I69" s="95" t="str">
        <x:v>BOFU</x:v>
      </x:c>
      <x:c r="J69" s="95" t="str">
        <x:v>Glass vs Plastic Blender Jar</x:v>
      </x:c>
      <x:c r="K69" s="95" t="str">
        <x:v>/glass-vs-plastic-blender-jar/</x:v>
      </x:c>
      <x:c r="L69" s="95" t="str">
        <x:v>High — both products + winner CTAs</x:v>
      </x:c>
      <x:c r="M69" s="95" t="str">
        <x:v>Article + ItemList + BreadcrumbList</x:v>
      </x:c>
      <x:c r="N69" s="95" t="str">
        <x:v>2,000–3,000</x:v>
      </x:c>
      <x:c r="O69" s="95" t="str">
        <x:v>Side-by-side criteria, validated specs, task-based winner logic, price checked date, clear uncertainty.</x:v>
      </x:c>
      <x:c r="P69" s="101" t="str">
        <x:v>Not Started</x:v>
      </x:c>
    </x:row>
    <x:row r="70">
      <x:c r="A70" s="100" t="n">
        <x:v>69</x:v>
      </x:c>
      <x:c r="B70" s="95" t="str">
        <x:v>BL-C05</x:v>
      </x:c>
      <x:c r="C70" s="95" t="str">
        <x:v>P2</x:v>
      </x:c>
      <x:c r="D70" s="95" t="str">
        <x:v>Blenders</x:v>
      </x:c>
      <x:c r="E70" s="95" t="str">
        <x:v>Comparison</x:v>
      </x:c>
      <x:c r="F70" s="95" t="str">
        <x:v>BL-PIL</x:v>
      </x:c>
      <x:c r="G70" s="95" t="str">
        <x:v>1000 watt vs 1500 watt blender</x:v>
      </x:c>
      <x:c r="H70" s="95" t="str">
        <x:v>Commercial Investigation</x:v>
      </x:c>
      <x:c r="I70" s="95" t="str">
        <x:v>BOFU</x:v>
      </x:c>
      <x:c r="J70" s="95" t="str">
        <x:v>1000-Watt vs 1500-Watt Blender</x:v>
      </x:c>
      <x:c r="K70" s="95" t="str">
        <x:v>/1000-watt-vs-1500-watt-blender/</x:v>
      </x:c>
      <x:c r="L70" s="95" t="str">
        <x:v>High — both products + winner CTAs</x:v>
      </x:c>
      <x:c r="M70" s="95" t="str">
        <x:v>Article + ItemList + BreadcrumbList</x:v>
      </x:c>
      <x:c r="N70" s="95" t="str">
        <x:v>2,000–3,000</x:v>
      </x:c>
      <x:c r="O70" s="95" t="str">
        <x:v>Side-by-side criteria, validated specs, task-based winner logic, price checked date, clear uncertainty.</x:v>
      </x:c>
      <x:c r="P70" s="101" t="str">
        <x:v>Not Started</x:v>
      </x:c>
    </x:row>
    <x:row r="71">
      <x:c r="A71" s="100" t="n">
        <x:v>70</x:v>
      </x:c>
      <x:c r="B71" s="95" t="str">
        <x:v>EK-C01</x:v>
      </x:c>
      <x:c r="C71" s="95" t="str">
        <x:v>P2</x:v>
      </x:c>
      <x:c r="D71" s="95" t="str">
        <x:v>Electric Kettles</x:v>
      </x:c>
      <x:c r="E71" s="95" t="str">
        <x:v>Comparison</x:v>
      </x:c>
      <x:c r="F71" s="95" t="str">
        <x:v>EK-PIL</x:v>
      </x:c>
      <x:c r="G71" s="95" t="str">
        <x:v>gooseneck vs regular kettle</x:v>
      </x:c>
      <x:c r="H71" s="95" t="str">
        <x:v>Commercial Investigation</x:v>
      </x:c>
      <x:c r="I71" s="95" t="str">
        <x:v>BOFU</x:v>
      </x:c>
      <x:c r="J71" s="95" t="str">
        <x:v>Gooseneck vs Regular Kettle</x:v>
      </x:c>
      <x:c r="K71" s="95" t="str">
        <x:v>/gooseneck-vs-regular-kettle/</x:v>
      </x:c>
      <x:c r="L71" s="95" t="str">
        <x:v>High — both products + winner CTAs</x:v>
      </x:c>
      <x:c r="M71" s="95" t="str">
        <x:v>Article + ItemList + BreadcrumbList</x:v>
      </x:c>
      <x:c r="N71" s="95" t="str">
        <x:v>2,000–3,000</x:v>
      </x:c>
      <x:c r="O71" s="95" t="str">
        <x:v>Side-by-side criteria, validated specs, task-based winner logic, price checked date, clear uncertainty.</x:v>
      </x:c>
      <x:c r="P71" s="101" t="str">
        <x:v>Not Started</x:v>
      </x:c>
    </x:row>
    <x:row r="72">
      <x:c r="A72" s="100" t="n">
        <x:v>71</x:v>
      </x:c>
      <x:c r="B72" s="95" t="str">
        <x:v>EK-C04</x:v>
      </x:c>
      <x:c r="C72" s="95" t="str">
        <x:v>P2</x:v>
      </x:c>
      <x:c r="D72" s="95" t="str">
        <x:v>Electric Kettles</x:v>
      </x:c>
      <x:c r="E72" s="95" t="str">
        <x:v>Comparison</x:v>
      </x:c>
      <x:c r="F72" s="95" t="str">
        <x:v>EK-PIL</x:v>
      </x:c>
      <x:c r="G72" s="95" t="str">
        <x:v>electric kettle vs stovetop kettle</x:v>
      </x:c>
      <x:c r="H72" s="95" t="str">
        <x:v>Commercial Investigation</x:v>
      </x:c>
      <x:c r="I72" s="95" t="str">
        <x:v>BOFU</x:v>
      </x:c>
      <x:c r="J72" s="95" t="str">
        <x:v>Electric Kettle vs Stovetop Kettle</x:v>
      </x:c>
      <x:c r="K72" s="95" t="str">
        <x:v>/electric-kettle-vs-stovetop-kettle/</x:v>
      </x:c>
      <x:c r="L72" s="95" t="str">
        <x:v>High — both products + winner CTAs</x:v>
      </x:c>
      <x:c r="M72" s="95" t="str">
        <x:v>Article + ItemList + BreadcrumbList</x:v>
      </x:c>
      <x:c r="N72" s="95" t="str">
        <x:v>2,000–3,000</x:v>
      </x:c>
      <x:c r="O72" s="95" t="str">
        <x:v>Side-by-side criteria, validated specs, task-based winner logic, price checked date, clear uncertainty.</x:v>
      </x:c>
      <x:c r="P72" s="101" t="str">
        <x:v>Not Started</x:v>
      </x:c>
    </x:row>
    <x:row r="73">
      <x:c r="A73" s="100" t="n">
        <x:v>72</x:v>
      </x:c>
      <x:c r="B73" s="95" t="str">
        <x:v>FP-C03</x:v>
      </x:c>
      <x:c r="C73" s="95" t="str">
        <x:v>P2</x:v>
      </x:c>
      <x:c r="D73" s="95" t="str">
        <x:v>Food Processors</x:v>
      </x:c>
      <x:c r="E73" s="95" t="str">
        <x:v>Comparison</x:v>
      </x:c>
      <x:c r="F73" s="95" t="str">
        <x:v>FP-PIL</x:v>
      </x:c>
      <x:c r="G73" s="95" t="str">
        <x:v>food processor vs blender</x:v>
      </x:c>
      <x:c r="H73" s="95" t="str">
        <x:v>Commercial Investigation</x:v>
      </x:c>
      <x:c r="I73" s="95" t="str">
        <x:v>BOFU</x:v>
      </x:c>
      <x:c r="J73" s="95" t="str">
        <x:v>Food Processor vs Blender</x:v>
      </x:c>
      <x:c r="K73" s="95" t="str">
        <x:v>/food-processor-vs-blender/</x:v>
      </x:c>
      <x:c r="L73" s="95" t="str">
        <x:v>High — both products + winner CTAs</x:v>
      </x:c>
      <x:c r="M73" s="95" t="str">
        <x:v>Article + ItemList + BreadcrumbList</x:v>
      </x:c>
      <x:c r="N73" s="95" t="str">
        <x:v>2,000–3,000</x:v>
      </x:c>
      <x:c r="O73" s="95" t="str">
        <x:v>Side-by-side criteria, validated specs, task-based winner logic, price checked date, clear uncertainty.</x:v>
      </x:c>
      <x:c r="P73" s="101" t="str">
        <x:v>Not Started</x:v>
      </x:c>
    </x:row>
    <x:row r="74">
      <x:c r="A74" s="100" t="n">
        <x:v>73</x:v>
      </x:c>
      <x:c r="B74" s="95" t="str">
        <x:v>TO-C01</x:v>
      </x:c>
      <x:c r="C74" s="95" t="str">
        <x:v>P2</x:v>
      </x:c>
      <x:c r="D74" s="95" t="str">
        <x:v>Toaster Ovens</x:v>
      </x:c>
      <x:c r="E74" s="95" t="str">
        <x:v>Comparison</x:v>
      </x:c>
      <x:c r="F74" s="95" t="str">
        <x:v>TO-PIL</x:v>
      </x:c>
      <x:c r="G74" s="95" t="str">
        <x:v>toaster oven vs conventional oven</x:v>
      </x:c>
      <x:c r="H74" s="95" t="str">
        <x:v>Commercial Investigation</x:v>
      </x:c>
      <x:c r="I74" s="95" t="str">
        <x:v>BOFU</x:v>
      </x:c>
      <x:c r="J74" s="95" t="str">
        <x:v>Toaster Oven vs Conventional Oven</x:v>
      </x:c>
      <x:c r="K74" s="95" t="str">
        <x:v>/toaster-oven-vs-conventional-oven/</x:v>
      </x:c>
      <x:c r="L74" s="95" t="str">
        <x:v>High — both products + winner CTAs</x:v>
      </x:c>
      <x:c r="M74" s="95" t="str">
        <x:v>Article + ItemList + BreadcrumbList</x:v>
      </x:c>
      <x:c r="N74" s="95" t="str">
        <x:v>2,000–3,000</x:v>
      </x:c>
      <x:c r="O74" s="95" t="str">
        <x:v>Side-by-side criteria, validated specs, task-based winner logic, price checked date, clear uncertainty.</x:v>
      </x:c>
      <x:c r="P74" s="101" t="str">
        <x:v>Not Started</x:v>
      </x:c>
    </x:row>
    <x:row r="75">
      <x:c r="A75" s="100" t="n">
        <x:v>74</x:v>
      </x:c>
      <x:c r="B75" s="95" t="str">
        <x:v>TO-C02</x:v>
      </x:c>
      <x:c r="C75" s="95" t="str">
        <x:v>P2</x:v>
      </x:c>
      <x:c r="D75" s="95" t="str">
        <x:v>Toaster Ovens</x:v>
      </x:c>
      <x:c r="E75" s="95" t="str">
        <x:v>Comparison</x:v>
      </x:c>
      <x:c r="F75" s="95" t="str">
        <x:v>TO-PIL</x:v>
      </x:c>
      <x:c r="G75" s="95" t="str">
        <x:v>convection toaster oven vs air fryer</x:v>
      </x:c>
      <x:c r="H75" s="95" t="str">
        <x:v>Commercial Investigation</x:v>
      </x:c>
      <x:c r="I75" s="95" t="str">
        <x:v>BOFU</x:v>
      </x:c>
      <x:c r="J75" s="95" t="str">
        <x:v>Convection Toaster Oven vs Air Fryer</x:v>
      </x:c>
      <x:c r="K75" s="95" t="str">
        <x:v>/convection-toaster-oven-vs-air-fryer/</x:v>
      </x:c>
      <x:c r="L75" s="95" t="str">
        <x:v>High — both products + winner CTAs</x:v>
      </x:c>
      <x:c r="M75" s="95" t="str">
        <x:v>Article + ItemList + BreadcrumbList</x:v>
      </x:c>
      <x:c r="N75" s="95" t="str">
        <x:v>2,000–3,000</x:v>
      </x:c>
      <x:c r="O75" s="95" t="str">
        <x:v>Side-by-side criteria, validated specs, task-based winner logic, price checked date, clear uncertainty.</x:v>
      </x:c>
      <x:c r="P75" s="101" t="str">
        <x:v>Not Started</x:v>
      </x:c>
    </x:row>
    <x:row r="76">
      <x:c r="A76" s="100" t="n">
        <x:v>75</x:v>
      </x:c>
      <x:c r="B76" s="95" t="str">
        <x:v>AF-V03</x:v>
      </x:c>
      <x:c r="C76" s="95" t="str">
        <x:v>P2</x:v>
      </x:c>
      <x:c r="D76" s="95" t="str">
        <x:v>Air Fryers</x:v>
      </x:c>
      <x:c r="E76" s="95" t="str">
        <x:v>Single Review</x:v>
      </x:c>
      <x:c r="F76" s="95" t="str">
        <x:v>AF-PIL</x:v>
      </x:c>
      <x:c r="G76" s="95" t="str">
        <x:v>instant vortex plus air fryer review</x:v>
      </x:c>
      <x:c r="H76" s="95" t="str">
        <x:v>Commercial Investigation</x:v>
      </x:c>
      <x:c r="I76" s="95" t="str">
        <x:v>BOFU</x:v>
      </x:c>
      <x:c r="J76" s="95" t="str">
        <x:v>Instant Vortex Plus Air Fryer Review</x:v>
      </x:c>
      <x:c r="K76" s="95" t="str">
        <x:v>/instant-vortex-plus-air-fryer-review/</x:v>
      </x:c>
      <x:c r="L76" s="95" t="str">
        <x:v>High — primary product + alternatives</x:v>
      </x:c>
      <x:c r="M76" s="95" t="str">
        <x:v>Product + Review + BreadcrumbList (only truthful first-party review data)</x:v>
      </x:c>
      <x:c r="N76" s="95" t="str">
        <x:v>1,800–2,800</x:v>
      </x:c>
      <x:c r="O76" s="95" t="str">
        <x:v>Hands-on testing preferred. Otherwise clearly disclose research-based review; add original analysis, test protocol, photos/data where available; never invent use.</x:v>
      </x:c>
      <x:c r="P76" s="101" t="str">
        <x:v>Not Started</x:v>
      </x:c>
    </x:row>
    <x:row r="77">
      <x:c r="A77" s="100" t="n">
        <x:v>76</x:v>
      </x:c>
      <x:c r="B77" s="95" t="str">
        <x:v>AF-V04</x:v>
      </x:c>
      <x:c r="C77" s="95" t="str">
        <x:v>P2</x:v>
      </x:c>
      <x:c r="D77" s="95" t="str">
        <x:v>Air Fryers</x:v>
      </x:c>
      <x:c r="E77" s="95" t="str">
        <x:v>Single Review</x:v>
      </x:c>
      <x:c r="F77" s="95" t="str">
        <x:v>AF-PIL</x:v>
      </x:c>
      <x:c r="G77" s="95" t="str">
        <x:v>ninja foodi dualzone review</x:v>
      </x:c>
      <x:c r="H77" s="95" t="str">
        <x:v>Commercial Investigation</x:v>
      </x:c>
      <x:c r="I77" s="95" t="str">
        <x:v>BOFU</x:v>
      </x:c>
      <x:c r="J77" s="95" t="str">
        <x:v>Ninja Foodi DualZone Air Fryer Review</x:v>
      </x:c>
      <x:c r="K77" s="95" t="str">
        <x:v>/ninja-foodi-dualzone-review/</x:v>
      </x:c>
      <x:c r="L77" s="95" t="str">
        <x:v>High — primary product + alternatives</x:v>
      </x:c>
      <x:c r="M77" s="95" t="str">
        <x:v>Product + Review + BreadcrumbList (only truthful first-party review data)</x:v>
      </x:c>
      <x:c r="N77" s="95" t="str">
        <x:v>1,800–2,800</x:v>
      </x:c>
      <x:c r="O77" s="95" t="str">
        <x:v>Hands-on testing preferred. Otherwise clearly disclose research-based review; add original analysis, test protocol, photos/data where available; never invent use.</x:v>
      </x:c>
      <x:c r="P77" s="101" t="str">
        <x:v>Not Started</x:v>
      </x:c>
    </x:row>
    <x:row r="78">
      <x:c r="A78" s="100" t="n">
        <x:v>77</x:v>
      </x:c>
      <x:c r="B78" s="95" t="str">
        <x:v>AF-V05</x:v>
      </x:c>
      <x:c r="C78" s="95" t="str">
        <x:v>P2</x:v>
      </x:c>
      <x:c r="D78" s="95" t="str">
        <x:v>Air Fryers</x:v>
      </x:c>
      <x:c r="E78" s="95" t="str">
        <x:v>Single Review</x:v>
      </x:c>
      <x:c r="F78" s="95" t="str">
        <x:v>AF-PIL</x:v>
      </x:c>
      <x:c r="G78" s="95" t="str">
        <x:v>cuisinart air fryer toaster oven review</x:v>
      </x:c>
      <x:c r="H78" s="95" t="str">
        <x:v>Commercial Investigation</x:v>
      </x:c>
      <x:c r="I78" s="95" t="str">
        <x:v>BOFU</x:v>
      </x:c>
      <x:c r="J78" s="95" t="str">
        <x:v>Cuisinart Air Fryer Toaster Oven Review</x:v>
      </x:c>
      <x:c r="K78" s="95" t="str">
        <x:v>/cuisinart-air-fryer-toaster-oven-review/</x:v>
      </x:c>
      <x:c r="L78" s="95" t="str">
        <x:v>High — primary product + alternatives</x:v>
      </x:c>
      <x:c r="M78" s="95" t="str">
        <x:v>Product + Review + BreadcrumbList (only truthful first-party review data)</x:v>
      </x:c>
      <x:c r="N78" s="95" t="str">
        <x:v>1,800–2,800</x:v>
      </x:c>
      <x:c r="O78" s="95" t="str">
        <x:v>Hands-on testing preferred. Otherwise clearly disclose research-based review; add original analysis, test protocol, photos/data where available; never invent use.</x:v>
      </x:c>
      <x:c r="P78" s="101" t="str">
        <x:v>Not Started</x:v>
      </x:c>
    </x:row>
    <x:row r="79">
      <x:c r="A79" s="100" t="n">
        <x:v>78</x:v>
      </x:c>
      <x:c r="B79" s="95" t="str">
        <x:v>BL-V03</x:v>
      </x:c>
      <x:c r="C79" s="95" t="str">
        <x:v>P2</x:v>
      </x:c>
      <x:c r="D79" s="95" t="str">
        <x:v>Blenders</x:v>
      </x:c>
      <x:c r="E79" s="95" t="str">
        <x:v>Single Review</x:v>
      </x:c>
      <x:c r="F79" s="95" t="str">
        <x:v>BL-PIL</x:v>
      </x:c>
      <x:c r="G79" s="95" t="str">
        <x:v>vitamix e310 review</x:v>
      </x:c>
      <x:c r="H79" s="95" t="str">
        <x:v>Commercial Investigation</x:v>
      </x:c>
      <x:c r="I79" s="95" t="str">
        <x:v>BOFU</x:v>
      </x:c>
      <x:c r="J79" s="95" t="str">
        <x:v>Vitamix E310 Review</x:v>
      </x:c>
      <x:c r="K79" s="95" t="str">
        <x:v>/vitamix-e310-review/</x:v>
      </x:c>
      <x:c r="L79" s="95" t="str">
        <x:v>High — primary product + alternatives</x:v>
      </x:c>
      <x:c r="M79" s="95" t="str">
        <x:v>Product + Review + BreadcrumbList (only truthful first-party review data)</x:v>
      </x:c>
      <x:c r="N79" s="95" t="str">
        <x:v>1,800–2,800</x:v>
      </x:c>
      <x:c r="O79" s="95" t="str">
        <x:v>Hands-on testing preferred. Otherwise clearly disclose research-based review; add original analysis, test protocol, photos/data where available; never invent use.</x:v>
      </x:c>
      <x:c r="P79" s="101" t="str">
        <x:v>Not Started</x:v>
      </x:c>
    </x:row>
    <x:row r="80">
      <x:c r="A80" s="100" t="n">
        <x:v>79</x:v>
      </x:c>
      <x:c r="B80" s="95" t="str">
        <x:v>BL-V04</x:v>
      </x:c>
      <x:c r="C80" s="95" t="str">
        <x:v>P2</x:v>
      </x:c>
      <x:c r="D80" s="95" t="str">
        <x:v>Blenders</x:v>
      </x:c>
      <x:c r="E80" s="95" t="str">
        <x:v>Single Review</x:v>
      </x:c>
      <x:c r="F80" s="95" t="str">
        <x:v>BL-PIL</x:v>
      </x:c>
      <x:c r="G80" s="95" t="str">
        <x:v>ninja foodi power blender review</x:v>
      </x:c>
      <x:c r="H80" s="95" t="str">
        <x:v>Commercial Investigation</x:v>
      </x:c>
      <x:c r="I80" s="95" t="str">
        <x:v>BOFU</x:v>
      </x:c>
      <x:c r="J80" s="95" t="str">
        <x:v>Ninja Foodi Power Blender Review</x:v>
      </x:c>
      <x:c r="K80" s="95" t="str">
        <x:v>/ninja-foodi-power-blender-review/</x:v>
      </x:c>
      <x:c r="L80" s="95" t="str">
        <x:v>High — primary product + alternatives</x:v>
      </x:c>
      <x:c r="M80" s="95" t="str">
        <x:v>Product + Review + BreadcrumbList (only truthful first-party review data)</x:v>
      </x:c>
      <x:c r="N80" s="95" t="str">
        <x:v>1,800–2,800</x:v>
      </x:c>
      <x:c r="O80" s="95" t="str">
        <x:v>Hands-on testing preferred. Otherwise clearly disclose research-based review; add original analysis, test protocol, photos/data where available; never invent use.</x:v>
      </x:c>
      <x:c r="P80" s="101" t="str">
        <x:v>Not Started</x:v>
      </x:c>
    </x:row>
    <x:row r="81">
      <x:c r="A81" s="100" t="n">
        <x:v>80</x:v>
      </x:c>
      <x:c r="B81" s="95" t="str">
        <x:v>EK-V01</x:v>
      </x:c>
      <x:c r="C81" s="95" t="str">
        <x:v>P2</x:v>
      </x:c>
      <x:c r="D81" s="95" t="str">
        <x:v>Electric Kettles</x:v>
      </x:c>
      <x:c r="E81" s="95" t="str">
        <x:v>Single Review</x:v>
      </x:c>
      <x:c r="F81" s="95" t="str">
        <x:v>EK-PIL</x:v>
      </x:c>
      <x:c r="G81" s="95" t="str">
        <x:v>fellow stagg ekg review</x:v>
      </x:c>
      <x:c r="H81" s="95" t="str">
        <x:v>Commercial Investigation</x:v>
      </x:c>
      <x:c r="I81" s="95" t="str">
        <x:v>BOFU</x:v>
      </x:c>
      <x:c r="J81" s="95" t="str">
        <x:v>Fellow Stagg EKG Review</x:v>
      </x:c>
      <x:c r="K81" s="95" t="str">
        <x:v>/fellow-stagg-ekg-review/</x:v>
      </x:c>
      <x:c r="L81" s="95" t="str">
        <x:v>High — primary product + alternatives</x:v>
      </x:c>
      <x:c r="M81" s="95" t="str">
        <x:v>Product + Review + BreadcrumbList (only truthful first-party review data)</x:v>
      </x:c>
      <x:c r="N81" s="95" t="str">
        <x:v>1,800–2,800</x:v>
      </x:c>
      <x:c r="O81" s="95" t="str">
        <x:v>Hands-on testing preferred. Otherwise clearly disclose research-based review; add original analysis, test protocol, photos/data where available; never invent use.</x:v>
      </x:c>
      <x:c r="P81" s="101" t="str">
        <x:v>Not Started</x:v>
      </x:c>
    </x:row>
    <x:row r="82">
      <x:c r="A82" s="100" t="n">
        <x:v>81</x:v>
      </x:c>
      <x:c r="B82" s="95" t="str">
        <x:v>TO-V01</x:v>
      </x:c>
      <x:c r="C82" s="95" t="str">
        <x:v>P2</x:v>
      </x:c>
      <x:c r="D82" s="95" t="str">
        <x:v>Toaster Ovens</x:v>
      </x:c>
      <x:c r="E82" s="95" t="str">
        <x:v>Single Review</x:v>
      </x:c>
      <x:c r="F82" s="95" t="str">
        <x:v>TO-PIL</x:v>
      </x:c>
      <x:c r="G82" s="95" t="str">
        <x:v>breville smart oven air fryer pro review</x:v>
      </x:c>
      <x:c r="H82" s="95" t="str">
        <x:v>Commercial Investigation</x:v>
      </x:c>
      <x:c r="I82" s="95" t="str">
        <x:v>BOFU</x:v>
      </x:c>
      <x:c r="J82" s="95" t="str">
        <x:v>Breville Smart Oven Air Fryer Pro Review</x:v>
      </x:c>
      <x:c r="K82" s="95" t="str">
        <x:v>/breville-smart-oven-air-fryer-pro-review/</x:v>
      </x:c>
      <x:c r="L82" s="95" t="str">
        <x:v>High — primary product + alternatives</x:v>
      </x:c>
      <x:c r="M82" s="95" t="str">
        <x:v>Product + Review + BreadcrumbList (only truthful first-party review data)</x:v>
      </x:c>
      <x:c r="N82" s="95" t="str">
        <x:v>1,800–2,800</x:v>
      </x:c>
      <x:c r="O82" s="95" t="str">
        <x:v>Hands-on testing preferred. Otherwise clearly disclose research-based review; add original analysis, test protocol, photos/data where available; never invent use.</x:v>
      </x:c>
      <x:c r="P82" s="101" t="str">
        <x:v>Not Started</x:v>
      </x:c>
    </x:row>
    <x:row r="83">
      <x:c r="A83" s="100" t="n">
        <x:v>82</x:v>
      </x:c>
      <x:c r="B83" s="95" t="str">
        <x:v>BL-G03</x:v>
      </x:c>
      <x:c r="C83" s="95" t="str">
        <x:v>P2</x:v>
      </x:c>
      <x:c r="D83" s="95" t="str">
        <x:v>Blenders</x:v>
      </x:c>
      <x:c r="E83" s="95" t="str">
        <x:v>Buying Guide</x:v>
      </x:c>
      <x:c r="F83" s="95" t="str">
        <x:v>BL-HUB</x:v>
      </x:c>
      <x:c r="G83" s="95" t="str">
        <x:v>how to choose a blender for smoothies</x:v>
      </x:c>
      <x:c r="H83" s="95" t="str">
        <x:v>Informational</x:v>
      </x:c>
      <x:c r="I83" s="95" t="str">
        <x:v>TOFU/MOFU</x:v>
      </x:c>
      <x:c r="J83" s="95" t="str">
        <x:v>How to Choose a Blender for Smoothies</x:v>
      </x:c>
      <x:c r="K83" s="95" t="str">
        <x:v>/how-to-choose-a-blender-for-smoothies/</x:v>
      </x:c>
      <x:c r="L83" s="95" t="str">
        <x:v>Medium — recommended examples</x:v>
      </x:c>
      <x:c r="M83" s="95" t="str">
        <x:v>Article + BreadcrumbList</x:v>
      </x:c>
      <x:c r="N83" s="95" t="str">
        <x:v>2,200–3,500</x:v>
      </x:c>
      <x:c r="O83" s="95" t="str">
        <x:v>Primary-source/manual references where useful; calculations/examples; original explanation; safety caveats; no generic rewritten filler.</x:v>
      </x:c>
      <x:c r="P83" s="101" t="str">
        <x:v>Not Started</x:v>
      </x:c>
    </x:row>
    <x:row r="84">
      <x:c r="A84" s="100" t="n">
        <x:v>83</x:v>
      </x:c>
      <x:c r="B84" s="95" t="str">
        <x:v>CC-G04</x:v>
      </x:c>
      <x:c r="C84" s="95" t="str">
        <x:v>P2</x:v>
      </x:c>
      <x:c r="D84" s="95" t="str">
        <x:v>Cross-Category</x:v>
      </x:c>
      <x:c r="E84" s="95" t="str">
        <x:v>Buying Guide</x:v>
      </x:c>
      <x:c r="F84" s="95" t="str"/>
      <x:c r="G84" s="95" t="str">
        <x:v>food safe kitchen appliance materials</x:v>
      </x:c>
      <x:c r="H84" s="95" t="str">
        <x:v>Informational</x:v>
      </x:c>
      <x:c r="I84" s="95" t="str">
        <x:v>TOFU/MOFU</x:v>
      </x:c>
      <x:c r="J84" s="95" t="str">
        <x:v>How to Choose BPA-Free and Food-Safe Appliance Materials</x:v>
      </x:c>
      <x:c r="K84" s="95" t="str">
        <x:v>/food-safe-appliance-materials/</x:v>
      </x:c>
      <x:c r="L84" s="95" t="str">
        <x:v>Medium — recommended examples</x:v>
      </x:c>
      <x:c r="M84" s="95" t="str">
        <x:v>Article + BreadcrumbList</x:v>
      </x:c>
      <x:c r="N84" s="95" t="str">
        <x:v>2,200–3,500</x:v>
      </x:c>
      <x:c r="O84" s="95" t="str">
        <x:v>Primary-source/manual references where useful; calculations/examples; original explanation; safety caveats; no generic rewritten filler.</x:v>
      </x:c>
      <x:c r="P84" s="101" t="str">
        <x:v>Not Started</x:v>
      </x:c>
    </x:row>
    <x:row r="85">
      <x:c r="A85" s="100" t="n">
        <x:v>84</x:v>
      </x:c>
      <x:c r="B85" s="95" t="str">
        <x:v>EK-G01</x:v>
      </x:c>
      <x:c r="C85" s="95" t="str">
        <x:v>P2</x:v>
      </x:c>
      <x:c r="D85" s="95" t="str">
        <x:v>Electric Kettles</x:v>
      </x:c>
      <x:c r="E85" s="95" t="str">
        <x:v>Buying Guide</x:v>
      </x:c>
      <x:c r="F85" s="95" t="str">
        <x:v>EK-HUB</x:v>
      </x:c>
      <x:c r="G85" s="95" t="str">
        <x:v>electric kettle buying guide</x:v>
      </x:c>
      <x:c r="H85" s="95" t="str">
        <x:v>Informational</x:v>
      </x:c>
      <x:c r="I85" s="95" t="str">
        <x:v>TOFU/MOFU</x:v>
      </x:c>
      <x:c r="J85" s="95" t="str">
        <x:v>Electric Kettle Buying Guide</x:v>
      </x:c>
      <x:c r="K85" s="95" t="str">
        <x:v>/electric-kettle-buying-guide/</x:v>
      </x:c>
      <x:c r="L85" s="95" t="str">
        <x:v>Medium — recommended examples</x:v>
      </x:c>
      <x:c r="M85" s="95" t="str">
        <x:v>Article + BreadcrumbList</x:v>
      </x:c>
      <x:c r="N85" s="95" t="str">
        <x:v>2,200–3,500</x:v>
      </x:c>
      <x:c r="O85" s="95" t="str">
        <x:v>Primary-source/manual references where useful; calculations/examples; original explanation; safety caveats; no generic rewritten filler.</x:v>
      </x:c>
      <x:c r="P85" s="101" t="str">
        <x:v>Not Started</x:v>
      </x:c>
    </x:row>
    <x:row r="86">
      <x:c r="A86" s="100" t="n">
        <x:v>85</x:v>
      </x:c>
      <x:c r="B86" s="95" t="str">
        <x:v>TO-G01</x:v>
      </x:c>
      <x:c r="C86" s="95" t="str">
        <x:v>P2</x:v>
      </x:c>
      <x:c r="D86" s="95" t="str">
        <x:v>Toaster Ovens</x:v>
      </x:c>
      <x:c r="E86" s="95" t="str">
        <x:v>Buying Guide</x:v>
      </x:c>
      <x:c r="F86" s="95" t="str">
        <x:v>TO-HUB</x:v>
      </x:c>
      <x:c r="G86" s="95" t="str">
        <x:v>toaster oven buying guide</x:v>
      </x:c>
      <x:c r="H86" s="95" t="str">
        <x:v>Informational</x:v>
      </x:c>
      <x:c r="I86" s="95" t="str">
        <x:v>TOFU/MOFU</x:v>
      </x:c>
      <x:c r="J86" s="95" t="str">
        <x:v>Toaster Oven Buying Guide</x:v>
      </x:c>
      <x:c r="K86" s="95" t="str">
        <x:v>/toaster-oven-buying-guide/</x:v>
      </x:c>
      <x:c r="L86" s="95" t="str">
        <x:v>Medium — recommended examples</x:v>
      </x:c>
      <x:c r="M86" s="95" t="str">
        <x:v>Article + BreadcrumbList</x:v>
      </x:c>
      <x:c r="N86" s="95" t="str">
        <x:v>2,200–3,500</x:v>
      </x:c>
      <x:c r="O86" s="95" t="str">
        <x:v>Primary-source/manual references where useful; calculations/examples; original explanation; safety caveats; no generic rewritten filler.</x:v>
      </x:c>
      <x:c r="P86" s="101" t="str">
        <x:v>Not Started</x:v>
      </x:c>
    </x:row>
    <x:row r="87">
      <x:c r="A87" s="100" t="n">
        <x:v>86</x:v>
      </x:c>
      <x:c r="B87" s="95" t="str">
        <x:v>AF-R20</x:v>
      </x:c>
      <x:c r="C87" s="95" t="str">
        <x:v>P2</x:v>
      </x:c>
      <x:c r="D87" s="95" t="str">
        <x:v>Air Fryers</x:v>
      </x:c>
      <x:c r="E87" s="95" t="str">
        <x:v>Accessory Roundup</x:v>
      </x:c>
      <x:c r="F87" s="95" t="str">
        <x:v>AF-PIL</x:v>
      </x:c>
      <x:c r="G87" s="95" t="str">
        <x:v>best air fryer accessories</x:v>
      </x:c>
      <x:c r="H87" s="95" t="str">
        <x:v>Commercial Investigation</x:v>
      </x:c>
      <x:c r="I87" s="95" t="str">
        <x:v>BOFU</x:v>
      </x:c>
      <x:c r="J87" s="95" t="str">
        <x:v>Best Air Fryer Accessories</x:v>
      </x:c>
      <x:c r="K87" s="95" t="str">
        <x:v>/best-air-fryer-accessories/</x:v>
      </x:c>
      <x:c r="L87" s="95" t="str">
        <x:v>High — product table + contextual CTAs</x:v>
      </x:c>
      <x:c r="M87" s="95" t="str">
        <x:v>Article + ItemList + BreadcrumbList</x:v>
      </x:c>
      <x:c r="N87" s="95" t="str">
        <x:v>2,200–3,500</x:v>
      </x:c>
      <x:c r="O87" s="95" t="str">
        <x:v>Original selection methodology; spec verification; decision criteria; custom comparison table; explain exclusions; ideally hands-on notes or documented research.</x:v>
      </x:c>
      <x:c r="P87" s="101" t="str">
        <x:v>Not Started</x:v>
      </x:c>
    </x:row>
    <x:row r="88">
      <x:c r="A88" s="100" t="n">
        <x:v>87</x:v>
      </x:c>
      <x:c r="B88" s="95" t="str">
        <x:v>CC-G06</x:v>
      </x:c>
      <x:c r="C88" s="95" t="str">
        <x:v>P2</x:v>
      </x:c>
      <x:c r="D88" s="95" t="str">
        <x:v>Cross-Category</x:v>
      </x:c>
      <x:c r="E88" s="95" t="str">
        <x:v>Accessory Roundup</x:v>
      </x:c>
      <x:c r="F88" s="95" t="str"/>
      <x:c r="G88" s="95" t="str">
        <x:v>best heat resistant counter mat</x:v>
      </x:c>
      <x:c r="H88" s="95" t="str">
        <x:v>Commercial Investigation</x:v>
      </x:c>
      <x:c r="I88" s="95" t="str">
        <x:v>BOFU</x:v>
      </x:c>
      <x:c r="J88" s="95" t="str">
        <x:v>Best Heat-Resistant Counter Mats for Kitchen Appliances</x:v>
      </x:c>
      <x:c r="K88" s="95" t="str">
        <x:v>/best-heat-resistant-counter-mats/</x:v>
      </x:c>
      <x:c r="L88" s="95" t="str">
        <x:v>High — product table + contextual CTAs</x:v>
      </x:c>
      <x:c r="M88" s="95" t="str">
        <x:v>Article + ItemList + BreadcrumbList</x:v>
      </x:c>
      <x:c r="N88" s="95" t="str">
        <x:v>2,200–3,500</x:v>
      </x:c>
      <x:c r="O88" s="95" t="str">
        <x:v>Original selection methodology; spec verification; decision criteria; custom comparison table; explain exclusions; ideally hands-on notes or documented research.</x:v>
      </x:c>
      <x:c r="P88" s="101" t="str">
        <x:v>Not Started</x:v>
      </x:c>
    </x:row>
    <x:row r="89">
      <x:c r="A89" s="100" t="n">
        <x:v>88</x:v>
      </x:c>
      <x:c r="B89" s="95" t="str">
        <x:v>AF-G03</x:v>
      </x:c>
      <x:c r="C89" s="95" t="str">
        <x:v>P2</x:v>
      </x:c>
      <x:c r="D89" s="95" t="str">
        <x:v>Air Fryers</x:v>
      </x:c>
      <x:c r="E89" s="95" t="str">
        <x:v>Informational</x:v>
      </x:c>
      <x:c r="F89" s="95" t="str">
        <x:v>AF-HUB</x:v>
      </x:c>
      <x:c r="G89" s="95" t="str">
        <x:v>how many watts does an air fryer use</x:v>
      </x:c>
      <x:c r="H89" s="95" t="str">
        <x:v>Informational</x:v>
      </x:c>
      <x:c r="I89" s="95" t="str">
        <x:v>TOFU/MOFU</x:v>
      </x:c>
      <x:c r="J89" s="95" t="str">
        <x:v>How Many Watts Does an Air Fryer Use?</x:v>
      </x:c>
      <x:c r="K89" s="95" t="str">
        <x:v>/how-many-watts-does-an-air-fryer-use/</x:v>
      </x:c>
      <x:c r="L89" s="95" t="str">
        <x:v>Low/Medium — contextual product links only</x:v>
      </x:c>
      <x:c r="M89" s="95" t="str">
        <x:v>Article + BreadcrumbList</x:v>
      </x:c>
      <x:c r="N89" s="95" t="str">
        <x:v>1,200–2,200</x:v>
      </x:c>
      <x:c r="O89" s="95" t="str">
        <x:v>Primary-source/manual references where useful; calculations/examples; original explanation; safety caveats; no generic rewritten filler.</x:v>
      </x:c>
      <x:c r="P89" s="101" t="str">
        <x:v>Not Started</x:v>
      </x:c>
    </x:row>
    <x:row r="90">
      <x:c r="A90" s="100" t="n">
        <x:v>89</x:v>
      </x:c>
      <x:c r="B90" s="95" t="str">
        <x:v>AF-G04</x:v>
      </x:c>
      <x:c r="C90" s="95" t="str">
        <x:v>P2</x:v>
      </x:c>
      <x:c r="D90" s="95" t="str">
        <x:v>Air Fryers</x:v>
      </x:c>
      <x:c r="E90" s="95" t="str">
        <x:v>Informational</x:v>
      </x:c>
      <x:c r="F90" s="95" t="str">
        <x:v>AF-HUB</x:v>
      </x:c>
      <x:c r="G90" s="95" t="str">
        <x:v>do you need to preheat an air fryer</x:v>
      </x:c>
      <x:c r="H90" s="95" t="str">
        <x:v>Informational</x:v>
      </x:c>
      <x:c r="I90" s="95" t="str">
        <x:v>TOFU/MOFU</x:v>
      </x:c>
      <x:c r="J90" s="95" t="str">
        <x:v>Do You Need to Preheat an Air Fryer?</x:v>
      </x:c>
      <x:c r="K90" s="95" t="str">
        <x:v>/do-you-need-to-preheat-an-air-fryer/</x:v>
      </x:c>
      <x:c r="L90" s="95" t="str">
        <x:v>Low/Medium — contextual product links only</x:v>
      </x:c>
      <x:c r="M90" s="95" t="str">
        <x:v>Article + BreadcrumbList</x:v>
      </x:c>
      <x:c r="N90" s="95" t="str">
        <x:v>1,200–2,200</x:v>
      </x:c>
      <x:c r="O90" s="95" t="str">
        <x:v>Primary-source/manual references where useful; calculations/examples; original explanation; safety caveats; no generic rewritten filler.</x:v>
      </x:c>
      <x:c r="P90" s="101" t="str">
        <x:v>Not Started</x:v>
      </x:c>
    </x:row>
    <x:row r="91">
      <x:c r="A91" s="100" t="n">
        <x:v>90</x:v>
      </x:c>
      <x:c r="B91" s="95" t="str">
        <x:v>AF-G05</x:v>
      </x:c>
      <x:c r="C91" s="95" t="str">
        <x:v>P2</x:v>
      </x:c>
      <x:c r="D91" s="95" t="str">
        <x:v>Air Fryers</x:v>
      </x:c>
      <x:c r="E91" s="95" t="str">
        <x:v>Informational</x:v>
      </x:c>
      <x:c r="F91" s="95" t="str">
        <x:v>AF-HUB</x:v>
      </x:c>
      <x:c r="G91" s="95" t="str">
        <x:v>can you put foil in an air fryer</x:v>
      </x:c>
      <x:c r="H91" s="95" t="str">
        <x:v>Informational</x:v>
      </x:c>
      <x:c r="I91" s="95" t="str">
        <x:v>TOFU/MOFU</x:v>
      </x:c>
      <x:c r="J91" s="95" t="str">
        <x:v>Can You Put Foil in an Air Fryer?</x:v>
      </x:c>
      <x:c r="K91" s="95" t="str">
        <x:v>/can-you-put-foil-in-an-air-fryer/</x:v>
      </x:c>
      <x:c r="L91" s="95" t="str">
        <x:v>Low/Medium — contextual product links only</x:v>
      </x:c>
      <x:c r="M91" s="95" t="str">
        <x:v>Article + BreadcrumbList</x:v>
      </x:c>
      <x:c r="N91" s="95" t="str">
        <x:v>1,200–2,200</x:v>
      </x:c>
      <x:c r="O91" s="95" t="str">
        <x:v>Primary-source/manual references where useful; calculations/examples; original explanation; safety caveats; no generic rewritten filler.</x:v>
      </x:c>
      <x:c r="P91" s="101" t="str">
        <x:v>Not Started</x:v>
      </x:c>
    </x:row>
    <x:row r="92">
      <x:c r="A92" s="100" t="n">
        <x:v>91</x:v>
      </x:c>
      <x:c r="B92" s="95" t="str">
        <x:v>AF-G06</x:v>
      </x:c>
      <x:c r="C92" s="95" t="str">
        <x:v>P2</x:v>
      </x:c>
      <x:c r="D92" s="95" t="str">
        <x:v>Air Fryers</x:v>
      </x:c>
      <x:c r="E92" s="95" t="str">
        <x:v>Informational</x:v>
      </x:c>
      <x:c r="F92" s="95" t="str">
        <x:v>AF-HUB</x:v>
      </x:c>
      <x:c r="G92" s="95" t="str">
        <x:v>can you put parchment paper in an air fryer</x:v>
      </x:c>
      <x:c r="H92" s="95" t="str">
        <x:v>Informational</x:v>
      </x:c>
      <x:c r="I92" s="95" t="str">
        <x:v>TOFU/MOFU</x:v>
      </x:c>
      <x:c r="J92" s="95" t="str">
        <x:v>Can You Put Parchment Paper in an Air Fryer?</x:v>
      </x:c>
      <x:c r="K92" s="95" t="str">
        <x:v>/can-you-put-parchment-paper-in-an-air-fryer/</x:v>
      </x:c>
      <x:c r="L92" s="95" t="str">
        <x:v>Low/Medium — contextual product links only</x:v>
      </x:c>
      <x:c r="M92" s="95" t="str">
        <x:v>Article + BreadcrumbList</x:v>
      </x:c>
      <x:c r="N92" s="95" t="str">
        <x:v>1,200–2,200</x:v>
      </x:c>
      <x:c r="O92" s="95" t="str">
        <x:v>Primary-source/manual references where useful; calculations/examples; original explanation; safety caveats; no generic rewritten filler.</x:v>
      </x:c>
      <x:c r="P92" s="101" t="str">
        <x:v>Not Started</x:v>
      </x:c>
    </x:row>
    <x:row r="93">
      <x:c r="A93" s="100" t="n">
        <x:v>92</x:v>
      </x:c>
      <x:c r="B93" s="95" t="str">
        <x:v>AF-G09</x:v>
      </x:c>
      <x:c r="C93" s="95" t="str">
        <x:v>P2</x:v>
      </x:c>
      <x:c r="D93" s="95" t="str">
        <x:v>Air Fryers</x:v>
      </x:c>
      <x:c r="E93" s="95" t="str">
        <x:v>Informational</x:v>
      </x:c>
      <x:c r="F93" s="95" t="str">
        <x:v>AF-HUB</x:v>
      </x:c>
      <x:c r="G93" s="95" t="str">
        <x:v>are air fryers worth it</x:v>
      </x:c>
      <x:c r="H93" s="95" t="str">
        <x:v>Informational</x:v>
      </x:c>
      <x:c r="I93" s="95" t="str">
        <x:v>TOFU/MOFU</x:v>
      </x:c>
      <x:c r="J93" s="95" t="str">
        <x:v>Are Air Fryers Worth It?</x:v>
      </x:c>
      <x:c r="K93" s="95" t="str">
        <x:v>/are-air-fryers-worth-it/</x:v>
      </x:c>
      <x:c r="L93" s="95" t="str">
        <x:v>Low/Medium — contextual product links only</x:v>
      </x:c>
      <x:c r="M93" s="95" t="str">
        <x:v>Article + BreadcrumbList</x:v>
      </x:c>
      <x:c r="N93" s="95" t="str">
        <x:v>1,200–2,200</x:v>
      </x:c>
      <x:c r="O93" s="95" t="str">
        <x:v>Primary-source/manual references where useful; calculations/examples; original explanation; safety caveats; no generic rewritten filler.</x:v>
      </x:c>
      <x:c r="P93" s="101" t="str">
        <x:v>Not Started</x:v>
      </x:c>
    </x:row>
    <x:row r="94">
      <x:c r="A94" s="100" t="n">
        <x:v>93</x:v>
      </x:c>
      <x:c r="B94" s="95" t="str">
        <x:v>BL-G02</x:v>
      </x:c>
      <x:c r="C94" s="95" t="str">
        <x:v>P2</x:v>
      </x:c>
      <x:c r="D94" s="95" t="str">
        <x:v>Blenders</x:v>
      </x:c>
      <x:c r="E94" s="95" t="str">
        <x:v>Informational</x:v>
      </x:c>
      <x:c r="F94" s="95" t="str">
        <x:v>BL-HUB</x:v>
      </x:c>
      <x:c r="G94" s="95" t="str">
        <x:v>how many watts should a blender have</x:v>
      </x:c>
      <x:c r="H94" s="95" t="str">
        <x:v>Informational</x:v>
      </x:c>
      <x:c r="I94" s="95" t="str">
        <x:v>TOFU/MOFU</x:v>
      </x:c>
      <x:c r="J94" s="95" t="str">
        <x:v>How Many Watts Should a Blender Have?</x:v>
      </x:c>
      <x:c r="K94" s="95" t="str">
        <x:v>/how-many-watts-should-a-blender-have/</x:v>
      </x:c>
      <x:c r="L94" s="95" t="str">
        <x:v>Low/Medium — contextual product links only</x:v>
      </x:c>
      <x:c r="M94" s="95" t="str">
        <x:v>Article + BreadcrumbList</x:v>
      </x:c>
      <x:c r="N94" s="95" t="str">
        <x:v>1,200–2,200</x:v>
      </x:c>
      <x:c r="O94" s="95" t="str">
        <x:v>Primary-source/manual references where useful; calculations/examples; original explanation; safety caveats; no generic rewritten filler.</x:v>
      </x:c>
      <x:c r="P94" s="101" t="str">
        <x:v>Not Started</x:v>
      </x:c>
    </x:row>
    <x:row r="95">
      <x:c r="A95" s="100" t="n">
        <x:v>94</x:v>
      </x:c>
      <x:c r="B95" s="95" t="str">
        <x:v>BL-G07</x:v>
      </x:c>
      <x:c r="C95" s="95" t="str">
        <x:v>P2</x:v>
      </x:c>
      <x:c r="D95" s="95" t="str">
        <x:v>Blenders</x:v>
      </x:c>
      <x:c r="E95" s="95" t="str">
        <x:v>Informational</x:v>
      </x:c>
      <x:c r="F95" s="95" t="str">
        <x:v>BL-HUB</x:v>
      </x:c>
      <x:c r="G95" s="95" t="str">
        <x:v>can a blender crush ice</x:v>
      </x:c>
      <x:c r="H95" s="95" t="str">
        <x:v>Informational</x:v>
      </x:c>
      <x:c r="I95" s="95" t="str">
        <x:v>TOFU/MOFU</x:v>
      </x:c>
      <x:c r="J95" s="95" t="str">
        <x:v>Can a Blender Crush Ice?</x:v>
      </x:c>
      <x:c r="K95" s="95" t="str">
        <x:v>/can-a-blender-crush-ice/</x:v>
      </x:c>
      <x:c r="L95" s="95" t="str">
        <x:v>Low/Medium — contextual product links only</x:v>
      </x:c>
      <x:c r="M95" s="95" t="str">
        <x:v>Article + BreadcrumbList</x:v>
      </x:c>
      <x:c r="N95" s="95" t="str">
        <x:v>1,200–2,200</x:v>
      </x:c>
      <x:c r="O95" s="95" t="str">
        <x:v>Primary-source/manual references where useful; calculations/examples; original explanation; safety caveats; no generic rewritten filler.</x:v>
      </x:c>
      <x:c r="P95" s="101" t="str">
        <x:v>Not Started</x:v>
      </x:c>
    </x:row>
    <x:row r="96">
      <x:c r="A96" s="100" t="n">
        <x:v>95</x:v>
      </x:c>
      <x:c r="B96" s="95" t="str">
        <x:v>BL-G08</x:v>
      </x:c>
      <x:c r="C96" s="95" t="str">
        <x:v>P2</x:v>
      </x:c>
      <x:c r="D96" s="95" t="str">
        <x:v>Blenders</x:v>
      </x:c>
      <x:c r="E96" s="95" t="str">
        <x:v>Informational</x:v>
      </x:c>
      <x:c r="F96" s="95" t="str">
        <x:v>BL-HUB</x:v>
      </x:c>
      <x:c r="G96" s="95" t="str">
        <x:v>can you put hot liquid in a blender</x:v>
      </x:c>
      <x:c r="H96" s="95" t="str">
        <x:v>Informational</x:v>
      </x:c>
      <x:c r="I96" s="95" t="str">
        <x:v>TOFU/MOFU</x:v>
      </x:c>
      <x:c r="J96" s="95" t="str">
        <x:v>Can You Put Hot Liquid in a Blender?</x:v>
      </x:c>
      <x:c r="K96" s="95" t="str">
        <x:v>/can-you-put-hot-liquid-in-a-blender/</x:v>
      </x:c>
      <x:c r="L96" s="95" t="str">
        <x:v>Low/Medium — contextual product links only</x:v>
      </x:c>
      <x:c r="M96" s="95" t="str">
        <x:v>Article + BreadcrumbList</x:v>
      </x:c>
      <x:c r="N96" s="95" t="str">
        <x:v>1,200–2,200</x:v>
      </x:c>
      <x:c r="O96" s="95" t="str">
        <x:v>Primary-source/manual references where useful; calculations/examples; original explanation; safety caveats; no generic rewritten filler.</x:v>
      </x:c>
      <x:c r="P96" s="101" t="str">
        <x:v>Not Started</x:v>
      </x:c>
    </x:row>
    <x:row r="97">
      <x:c r="A97" s="100" t="n">
        <x:v>96</x:v>
      </x:c>
      <x:c r="B97" s="95" t="str">
        <x:v>CC-G03</x:v>
      </x:c>
      <x:c r="C97" s="95" t="str">
        <x:v>P2</x:v>
      </x:c>
      <x:c r="D97" s="95" t="str">
        <x:v>Cross-Category</x:v>
      </x:c>
      <x:c r="E97" s="95" t="str">
        <x:v>Informational</x:v>
      </x:c>
      <x:c r="F97" s="95" t="str"/>
      <x:c r="G97" s="95" t="str">
        <x:v>kitchen appliance wattage guide</x:v>
      </x:c>
      <x:c r="H97" s="95" t="str">
        <x:v>Informational</x:v>
      </x:c>
      <x:c r="I97" s="95" t="str">
        <x:v>TOFU/MOFU</x:v>
      </x:c>
      <x:c r="J97" s="95" t="str">
        <x:v>Kitchen Appliance Wattage and Circuit Guide</x:v>
      </x:c>
      <x:c r="K97" s="95" t="str">
        <x:v>/kitchen-appliance-wattage-guide/</x:v>
      </x:c>
      <x:c r="L97" s="95" t="str">
        <x:v>Low/Medium — contextual product links only</x:v>
      </x:c>
      <x:c r="M97" s="95" t="str">
        <x:v>Article + BreadcrumbList</x:v>
      </x:c>
      <x:c r="N97" s="95" t="str">
        <x:v>1,200–2,200</x:v>
      </x:c>
      <x:c r="O97" s="95" t="str">
        <x:v>Primary-source/manual references where useful; calculations/examples; original explanation; safety caveats; no generic rewritten filler.</x:v>
      </x:c>
      <x:c r="P97" s="101" t="str">
        <x:v>Not Started</x:v>
      </x:c>
    </x:row>
    <x:row r="98">
      <x:c r="A98" s="100" t="n">
        <x:v>97</x:v>
      </x:c>
      <x:c r="B98" s="95" t="str">
        <x:v>CC-G05</x:v>
      </x:c>
      <x:c r="C98" s="95" t="str">
        <x:v>P2</x:v>
      </x:c>
      <x:c r="D98" s="95" t="str">
        <x:v>Cross-Category</x:v>
      </x:c>
      <x:c r="E98" s="95" t="str">
        <x:v>Informational</x:v>
      </x:c>
      <x:c r="F98" s="95" t="str"/>
      <x:c r="G98" s="95" t="str">
        <x:v>counter space for small appliances</x:v>
      </x:c>
      <x:c r="H98" s="95" t="str">
        <x:v>Informational</x:v>
      </x:c>
      <x:c r="I98" s="95" t="str">
        <x:v>TOFU/MOFU</x:v>
      </x:c>
      <x:c r="J98" s="95" t="str">
        <x:v>How Much Counter Space Do Small Appliances Need?</x:v>
      </x:c>
      <x:c r="K98" s="95" t="str">
        <x:v>/small-appliance-counter-space/</x:v>
      </x:c>
      <x:c r="L98" s="95" t="str">
        <x:v>Low/Medium — contextual product links only</x:v>
      </x:c>
      <x:c r="M98" s="95" t="str">
        <x:v>Article + BreadcrumbList</x:v>
      </x:c>
      <x:c r="N98" s="95" t="str">
        <x:v>1,200–2,200</x:v>
      </x:c>
      <x:c r="O98" s="95" t="str">
        <x:v>Primary-source/manual references where useful; calculations/examples; original explanation; safety caveats; no generic rewritten filler.</x:v>
      </x:c>
      <x:c r="P98" s="101" t="str">
        <x:v>Not Started</x:v>
      </x:c>
    </x:row>
    <x:row r="99">
      <x:c r="A99" s="100" t="n">
        <x:v>98</x:v>
      </x:c>
      <x:c r="B99" s="95" t="str">
        <x:v>AF-G07</x:v>
      </x:c>
      <x:c r="C99" s="95" t="str">
        <x:v>P2</x:v>
      </x:c>
      <x:c r="D99" s="95" t="str">
        <x:v>Air Fryers</x:v>
      </x:c>
      <x:c r="E99" s="95" t="str">
        <x:v>How-To</x:v>
      </x:c>
      <x:c r="F99" s="95" t="str">
        <x:v>AF-HUB</x:v>
      </x:c>
      <x:c r="G99" s="95" t="str">
        <x:v>how to clean an air fryer</x:v>
      </x:c>
      <x:c r="H99" s="95" t="str">
        <x:v>Informational</x:v>
      </x:c>
      <x:c r="I99" s="95" t="str">
        <x:v>TOFU/MOFU</x:v>
      </x:c>
      <x:c r="J99" s="95" t="str">
        <x:v>How to Clean an Air Fryer</x:v>
      </x:c>
      <x:c r="K99" s="95" t="str">
        <x:v>/how-to-clean-an-air-fryer/</x:v>
      </x:c>
      <x:c r="L99" s="95" t="str">
        <x:v>Low/Medium — contextual product links only</x:v>
      </x:c>
      <x:c r="M99" s="95" t="str">
        <x:v>HowTo only when steps are visible and eligible; otherwise Article + BreadcrumbList</x:v>
      </x:c>
      <x:c r="N99" s="95" t="str">
        <x:v>1,200–2,000</x:v>
      </x:c>
      <x:c r="O99" s="95" t="str">
        <x:v>Primary-source/manual references where useful; calculations/examples; original explanation; safety caveats; no generic rewritten filler.</x:v>
      </x:c>
      <x:c r="P99" s="101" t="str">
        <x:v>Not Started</x:v>
      </x:c>
    </x:row>
    <x:row r="100">
      <x:c r="A100" s="100" t="n">
        <x:v>99</x:v>
      </x:c>
      <x:c r="B100" s="95" t="str">
        <x:v>BL-G04</x:v>
      </x:c>
      <x:c r="C100" s="95" t="str">
        <x:v>P2</x:v>
      </x:c>
      <x:c r="D100" s="95" t="str">
        <x:v>Blenders</x:v>
      </x:c>
      <x:c r="E100" s="95" t="str">
        <x:v>How-To</x:v>
      </x:c>
      <x:c r="F100" s="95" t="str">
        <x:v>BL-HUB</x:v>
      </x:c>
      <x:c r="G100" s="95" t="str">
        <x:v>how to clean a blender</x:v>
      </x:c>
      <x:c r="H100" s="95" t="str">
        <x:v>Informational</x:v>
      </x:c>
      <x:c r="I100" s="95" t="str">
        <x:v>TOFU/MOFU</x:v>
      </x:c>
      <x:c r="J100" s="95" t="str">
        <x:v>How to Clean a Blender Safely</x:v>
      </x:c>
      <x:c r="K100" s="95" t="str">
        <x:v>/how-to-clean-a-blender/</x:v>
      </x:c>
      <x:c r="L100" s="95" t="str">
        <x:v>Low/Medium — contextual product links only</x:v>
      </x:c>
      <x:c r="M100" s="95" t="str">
        <x:v>HowTo only when steps are visible and eligible; otherwise Article + BreadcrumbList</x:v>
      </x:c>
      <x:c r="N100" s="95" t="str">
        <x:v>1,200–2,000</x:v>
      </x:c>
      <x:c r="O100" s="95" t="str">
        <x:v>Primary-source/manual references where useful; calculations/examples; original explanation; safety caveats; no generic rewritten filler.</x:v>
      </x:c>
      <x:c r="P100" s="101" t="str">
        <x:v>Not Started</x:v>
      </x:c>
    </x:row>
    <x:row r="101">
      <x:c r="A101" s="100" t="n">
        <x:v>100</x:v>
      </x:c>
      <x:c r="B101" s="95" t="str">
        <x:v>EK-G03</x:v>
      </x:c>
      <x:c r="C101" s="95" t="str">
        <x:v>P2</x:v>
      </x:c>
      <x:c r="D101" s="95" t="str">
        <x:v>Electric Kettles</x:v>
      </x:c>
      <x:c r="E101" s="95" t="str">
        <x:v>How-To</x:v>
      </x:c>
      <x:c r="F101" s="95" t="str">
        <x:v>EK-HUB</x:v>
      </x:c>
      <x:c r="G101" s="95" t="str">
        <x:v>how to descale electric kettle</x:v>
      </x:c>
      <x:c r="H101" s="95" t="str">
        <x:v>Informational</x:v>
      </x:c>
      <x:c r="I101" s="95" t="str">
        <x:v>TOFU/MOFU</x:v>
      </x:c>
      <x:c r="J101" s="95" t="str">
        <x:v>How to Descale an Electric Kettle</x:v>
      </x:c>
      <x:c r="K101" s="95" t="str">
        <x:v>/how-to-descale-electric-kettle/</x:v>
      </x:c>
      <x:c r="L101" s="95" t="str">
        <x:v>Low/Medium — contextual product links only</x:v>
      </x:c>
      <x:c r="M101" s="95" t="str">
        <x:v>HowTo only when steps are visible and eligible; otherwise Article + BreadcrumbList</x:v>
      </x:c>
      <x:c r="N101" s="95" t="str">
        <x:v>1,200–2,000</x:v>
      </x:c>
      <x:c r="O101" s="95" t="str">
        <x:v>Primary-source/manual references where useful; calculations/examples; original explanation; safety caveats; no generic rewritten filler.</x:v>
      </x:c>
      <x:c r="P101" s="101" t="str">
        <x:v>Not Started</x:v>
      </x:c>
    </x:row>
    <x:row r="102">
      <x:c r="A102" s="100" t="n">
        <x:v>101</x:v>
      </x:c>
      <x:c r="B102" s="95" t="str">
        <x:v>CG-HUB</x:v>
      </x:c>
      <x:c r="C102" s="95" t="str">
        <x:v>P3</x:v>
      </x:c>
      <x:c r="D102" s="95" t="str">
        <x:v>Coffee Grinders</x:v>
      </x:c>
      <x:c r="E102" s="95" t="str">
        <x:v>Category Hub</x:v>
      </x:c>
      <x:c r="F102" s="95" t="str"/>
      <x:c r="G102" s="95" t="str">
        <x:v>coffee grinder reviews and buying guides</x:v>
      </x:c>
      <x:c r="H102" s="95" t="str">
        <x:v>Mixed</x:v>
      </x:c>
      <x:c r="I102" s="95" t="str">
        <x:v>MOFU</x:v>
      </x:c>
      <x:c r="J102" s="95" t="str">
        <x:v>Coffee Grinder Reviews, Comparisons and Buying Guides</x:v>
      </x:c>
      <x:c r="K102" s="95" t="str">
        <x:v>/coffee-grinders/</x:v>
      </x:c>
      <x:c r="L102" s="95" t="str">
        <x:v>Indirect — distribute users to money pages</x:v>
      </x:c>
      <x:c r="M102" s="95" t="str">
        <x:v>CollectionPage + ItemList + BreadcrumbList</x:v>
      </x:c>
      <x:c r="N102" s="95" t="str">
        <x:v>1,500–2,200</x:v>
      </x:c>
      <x:c r="O102" s="95" t="str">
        <x:v>Original editorial context, source validation and clear author accountability.</x:v>
      </x:c>
      <x:c r="P102" s="101" t="str">
        <x:v>Not Started</x:v>
      </x:c>
    </x:row>
    <x:row r="103">
      <x:c r="A103" s="100" t="n">
        <x:v>102</x:v>
      </x:c>
      <x:c r="B103" s="95" t="str">
        <x:v>FP-HUB</x:v>
      </x:c>
      <x:c r="C103" s="95" t="str">
        <x:v>P3</x:v>
      </x:c>
      <x:c r="D103" s="95" t="str">
        <x:v>Food Processors</x:v>
      </x:c>
      <x:c r="E103" s="95" t="str">
        <x:v>Category Hub</x:v>
      </x:c>
      <x:c r="F103" s="95" t="str"/>
      <x:c r="G103" s="95" t="str">
        <x:v>food processor reviews and buying guides</x:v>
      </x:c>
      <x:c r="H103" s="95" t="str">
        <x:v>Mixed</x:v>
      </x:c>
      <x:c r="I103" s="95" t="str">
        <x:v>MOFU</x:v>
      </x:c>
      <x:c r="J103" s="95" t="str">
        <x:v>Food Processor Reviews, Comparisons and Buying Guides</x:v>
      </x:c>
      <x:c r="K103" s="95" t="str">
        <x:v>/food-processors/</x:v>
      </x:c>
      <x:c r="L103" s="95" t="str">
        <x:v>Indirect — distribute users to money pages</x:v>
      </x:c>
      <x:c r="M103" s="95" t="str">
        <x:v>CollectionPage + ItemList + BreadcrumbList</x:v>
      </x:c>
      <x:c r="N103" s="95" t="str">
        <x:v>1,500–2,200</x:v>
      </x:c>
      <x:c r="O103" s="95" t="str">
        <x:v>Original editorial context, source validation and clear author accountability.</x:v>
      </x:c>
      <x:c r="P103" s="101" t="str">
        <x:v>Not Started</x:v>
      </x:c>
    </x:row>
    <x:row r="104">
      <x:c r="A104" s="100" t="n">
        <x:v>103</x:v>
      </x:c>
      <x:c r="B104" s="95" t="str">
        <x:v>MC-HUB</x:v>
      </x:c>
      <x:c r="C104" s="95" t="str">
        <x:v>P3</x:v>
      </x:c>
      <x:c r="D104" s="95" t="str">
        <x:v>Mini Choppers</x:v>
      </x:c>
      <x:c r="E104" s="95" t="str">
        <x:v>Category Hub</x:v>
      </x:c>
      <x:c r="F104" s="95" t="str"/>
      <x:c r="G104" s="95" t="str">
        <x:v>mini chopper reviews and buying guides</x:v>
      </x:c>
      <x:c r="H104" s="95" t="str">
        <x:v>Mixed</x:v>
      </x:c>
      <x:c r="I104" s="95" t="str">
        <x:v>MOFU</x:v>
      </x:c>
      <x:c r="J104" s="95" t="str">
        <x:v>Mini Chopper Reviews, Comparisons and Buying Guides</x:v>
      </x:c>
      <x:c r="K104" s="95" t="str">
        <x:v>/mini-choppers/</x:v>
      </x:c>
      <x:c r="L104" s="95" t="str">
        <x:v>Indirect — distribute users to money pages</x:v>
      </x:c>
      <x:c r="M104" s="95" t="str">
        <x:v>CollectionPage + ItemList + BreadcrumbList</x:v>
      </x:c>
      <x:c r="N104" s="95" t="str">
        <x:v>1,500–2,200</x:v>
      </x:c>
      <x:c r="O104" s="95" t="str">
        <x:v>Original editorial context, source validation and clear author accountability.</x:v>
      </x:c>
      <x:c r="P104" s="101" t="str">
        <x:v>Not Started</x:v>
      </x:c>
    </x:row>
    <x:row r="105">
      <x:c r="A105" s="100" t="n">
        <x:v>104</x:v>
      </x:c>
      <x:c r="B105" s="95" t="str">
        <x:v>RC-HUB</x:v>
      </x:c>
      <x:c r="C105" s="95" t="str">
        <x:v>P3</x:v>
      </x:c>
      <x:c r="D105" s="95" t="str">
        <x:v>Rice Cookers</x:v>
      </x:c>
      <x:c r="E105" s="95" t="str">
        <x:v>Category Hub</x:v>
      </x:c>
      <x:c r="F105" s="95" t="str"/>
      <x:c r="G105" s="95" t="str">
        <x:v>rice cooker reviews and buying guides</x:v>
      </x:c>
      <x:c r="H105" s="95" t="str">
        <x:v>Mixed</x:v>
      </x:c>
      <x:c r="I105" s="95" t="str">
        <x:v>MOFU</x:v>
      </x:c>
      <x:c r="J105" s="95" t="str">
        <x:v>Rice Cooker Reviews, Comparisons and Buying Guides</x:v>
      </x:c>
      <x:c r="K105" s="95" t="str">
        <x:v>/rice-cookers/</x:v>
      </x:c>
      <x:c r="L105" s="95" t="str">
        <x:v>Indirect — distribute users to money pages</x:v>
      </x:c>
      <x:c r="M105" s="95" t="str">
        <x:v>CollectionPage + ItemList + BreadcrumbList</x:v>
      </x:c>
      <x:c r="N105" s="95" t="str">
        <x:v>1,500–2,200</x:v>
      </x:c>
      <x:c r="O105" s="95" t="str">
        <x:v>Original editorial context, source validation and clear author accountability.</x:v>
      </x:c>
      <x:c r="P105" s="101" t="str">
        <x:v>Not Started</x:v>
      </x:c>
    </x:row>
    <x:row r="106">
      <x:c r="A106" s="100" t="n">
        <x:v>105</x:v>
      </x:c>
      <x:c r="B106" s="95" t="str">
        <x:v>CG-PIL</x:v>
      </x:c>
      <x:c r="C106" s="95" t="str">
        <x:v>P3</x:v>
      </x:c>
      <x:c r="D106" s="95" t="str">
        <x:v>Coffee Grinders</x:v>
      </x:c>
      <x:c r="E106" s="95" t="str">
        <x:v>Commercial Pillar</x:v>
      </x:c>
      <x:c r="F106" s="95" t="str">
        <x:v>CG-HUB</x:v>
      </x:c>
      <x:c r="G106" s="95" t="str">
        <x:v>best coffee grinders</x:v>
      </x:c>
      <x:c r="H106" s="95" t="str">
        <x:v>Commercial Investigation</x:v>
      </x:c>
      <x:c r="I106" s="95" t="str">
        <x:v>BOFU</x:v>
      </x:c>
      <x:c r="J106" s="95" t="str">
        <x:v>Best Coffee Grinders for Drip, Espresso and Pour-Over</x:v>
      </x:c>
      <x:c r="K106" s="95" t="str">
        <x:v>/best-coffee-grinders/</x:v>
      </x:c>
      <x:c r="L106" s="95" t="str">
        <x:v>High — product table + contextual CTAs</x:v>
      </x:c>
      <x:c r="M106" s="95" t="str">
        <x:v>Article + ItemList + BreadcrumbList</x:v>
      </x:c>
      <x:c r="N106" s="95" t="str">
        <x:v>3,000–4,500</x:v>
      </x:c>
      <x:c r="O106" s="95" t="str">
        <x:v>Original selection methodology; spec verification; decision criteria; custom comparison table; explain exclusions; ideally hands-on notes or documented research.</x:v>
      </x:c>
      <x:c r="P106" s="101" t="str">
        <x:v>Not Started</x:v>
      </x:c>
    </x:row>
    <x:row r="107">
      <x:c r="A107" s="100" t="n">
        <x:v>106</x:v>
      </x:c>
      <x:c r="B107" s="95" t="str">
        <x:v>FP-PIL</x:v>
      </x:c>
      <x:c r="C107" s="95" t="str">
        <x:v>P3</x:v>
      </x:c>
      <x:c r="D107" s="95" t="str">
        <x:v>Food Processors</x:v>
      </x:c>
      <x:c r="E107" s="95" t="str">
        <x:v>Commercial Pillar</x:v>
      </x:c>
      <x:c r="F107" s="95" t="str">
        <x:v>FP-HUB</x:v>
      </x:c>
      <x:c r="G107" s="95" t="str">
        <x:v>best food processors</x:v>
      </x:c>
      <x:c r="H107" s="95" t="str">
        <x:v>Commercial Investigation</x:v>
      </x:c>
      <x:c r="I107" s="95" t="str">
        <x:v>BOFU</x:v>
      </x:c>
      <x:c r="J107" s="95" t="str">
        <x:v>Best Food Processors for Chopping, Slicing and Dough</x:v>
      </x:c>
      <x:c r="K107" s="95" t="str">
        <x:v>/best-food-processors/</x:v>
      </x:c>
      <x:c r="L107" s="95" t="str">
        <x:v>High — product table + contextual CTAs</x:v>
      </x:c>
      <x:c r="M107" s="95" t="str">
        <x:v>Article + ItemList + BreadcrumbList</x:v>
      </x:c>
      <x:c r="N107" s="95" t="str">
        <x:v>3,000–4,500</x:v>
      </x:c>
      <x:c r="O107" s="95" t="str">
        <x:v>Original selection methodology; spec verification; decision criteria; custom comparison table; explain exclusions; ideally hands-on notes or documented research.</x:v>
      </x:c>
      <x:c r="P107" s="101" t="str">
        <x:v>Not Started</x:v>
      </x:c>
    </x:row>
    <x:row r="108">
      <x:c r="A108" s="100" t="n">
        <x:v>107</x:v>
      </x:c>
      <x:c r="B108" s="95" t="str">
        <x:v>MC-PIL</x:v>
      </x:c>
      <x:c r="C108" s="95" t="str">
        <x:v>P3</x:v>
      </x:c>
      <x:c r="D108" s="95" t="str">
        <x:v>Mini Choppers</x:v>
      </x:c>
      <x:c r="E108" s="95" t="str">
        <x:v>Commercial Pillar</x:v>
      </x:c>
      <x:c r="F108" s="95" t="str">
        <x:v>MC-HUB</x:v>
      </x:c>
      <x:c r="G108" s="95" t="str">
        <x:v>best mini food choppers</x:v>
      </x:c>
      <x:c r="H108" s="95" t="str">
        <x:v>Commercial Investigation</x:v>
      </x:c>
      <x:c r="I108" s="95" t="str">
        <x:v>BOFU</x:v>
      </x:c>
      <x:c r="J108" s="95" t="str">
        <x:v>Best Mini Food Choppers for Quick Prep</x:v>
      </x:c>
      <x:c r="K108" s="95" t="str">
        <x:v>/best-mini-food-choppers/</x:v>
      </x:c>
      <x:c r="L108" s="95" t="str">
        <x:v>High — product table + contextual CTAs</x:v>
      </x:c>
      <x:c r="M108" s="95" t="str">
        <x:v>Article + ItemList + BreadcrumbList</x:v>
      </x:c>
      <x:c r="N108" s="95" t="str">
        <x:v>3,000–4,500</x:v>
      </x:c>
      <x:c r="O108" s="95" t="str">
        <x:v>Original selection methodology; spec verification; decision criteria; custom comparison table; explain exclusions; ideally hands-on notes or documented research.</x:v>
      </x:c>
      <x:c r="P108" s="101" t="str">
        <x:v>Not Started</x:v>
      </x:c>
    </x:row>
    <x:row r="109">
      <x:c r="A109" s="100" t="n">
        <x:v>108</x:v>
      </x:c>
      <x:c r="B109" s="95" t="str">
        <x:v>RC-PIL</x:v>
      </x:c>
      <x:c r="C109" s="95" t="str">
        <x:v>P3</x:v>
      </x:c>
      <x:c r="D109" s="95" t="str">
        <x:v>Rice Cookers</x:v>
      </x:c>
      <x:c r="E109" s="95" t="str">
        <x:v>Commercial Pillar</x:v>
      </x:c>
      <x:c r="F109" s="95" t="str">
        <x:v>RC-HUB</x:v>
      </x:c>
      <x:c r="G109" s="95" t="str">
        <x:v>best rice cookers</x:v>
      </x:c>
      <x:c r="H109" s="95" t="str">
        <x:v>Commercial Investigation</x:v>
      </x:c>
      <x:c r="I109" s="95" t="str">
        <x:v>BOFU</x:v>
      </x:c>
      <x:c r="J109" s="95" t="str">
        <x:v>Best Rice Cookers for Small and Large Households</x:v>
      </x:c>
      <x:c r="K109" s="95" t="str">
        <x:v>/best-rice-cookers/</x:v>
      </x:c>
      <x:c r="L109" s="95" t="str">
        <x:v>High — product table + contextual CTAs</x:v>
      </x:c>
      <x:c r="M109" s="95" t="str">
        <x:v>Article + ItemList + BreadcrumbList</x:v>
      </x:c>
      <x:c r="N109" s="95" t="str">
        <x:v>3,000–4,500</x:v>
      </x:c>
      <x:c r="O109" s="95" t="str">
        <x:v>Original selection methodology; spec verification; decision criteria; custom comparison table; explain exclusions; ideally hands-on notes or documented research.</x:v>
      </x:c>
      <x:c r="P109" s="101" t="str">
        <x:v>Not Started</x:v>
      </x:c>
    </x:row>
    <x:row r="110">
      <x:c r="A110" s="100" t="n">
        <x:v>109</x:v>
      </x:c>
      <x:c r="B110" s="95" t="str">
        <x:v>AF-R18</x:v>
      </x:c>
      <x:c r="C110" s="95" t="str">
        <x:v>P3</x:v>
      </x:c>
      <x:c r="D110" s="95" t="str">
        <x:v>Air Fryers</x:v>
      </x:c>
      <x:c r="E110" s="95" t="str">
        <x:v>Roundup</x:v>
      </x:c>
      <x:c r="F110" s="95" t="str">
        <x:v>AF-PIL</x:v>
      </x:c>
      <x:c r="G110" s="95" t="str">
        <x:v>best air fryer for baking</x:v>
      </x:c>
      <x:c r="H110" s="95" t="str">
        <x:v>Commercial Investigation</x:v>
      </x:c>
      <x:c r="I110" s="95" t="str">
        <x:v>BOFU</x:v>
      </x:c>
      <x:c r="J110" s="95" t="str">
        <x:v>Best Air Fryers for Baking</x:v>
      </x:c>
      <x:c r="K110" s="95" t="str">
        <x:v>/best-air-fryer-for-baking/</x:v>
      </x:c>
      <x:c r="L110" s="95" t="str">
        <x:v>High — product table + contextual CTAs</x:v>
      </x:c>
      <x:c r="M110" s="95" t="str">
        <x:v>Article + ItemList + BreadcrumbList</x:v>
      </x:c>
      <x:c r="N110" s="95" t="str">
        <x:v>2,500–4,000</x:v>
      </x:c>
      <x:c r="O110" s="95" t="str">
        <x:v>Original selection methodology; spec verification; decision criteria; custom comparison table; explain exclusions; ideally hands-on notes or documented research.</x:v>
      </x:c>
      <x:c r="P110" s="101" t="str">
        <x:v>Not Started</x:v>
      </x:c>
    </x:row>
    <x:row r="111">
      <x:c r="A111" s="100" t="n">
        <x:v>110</x:v>
      </x:c>
      <x:c r="B111" s="95" t="str">
        <x:v>AF-R19</x:v>
      </x:c>
      <x:c r="C111" s="95" t="str">
        <x:v>P3</x:v>
      </x:c>
      <x:c r="D111" s="95" t="str">
        <x:v>Air Fryers</x:v>
      </x:c>
      <x:c r="E111" s="95" t="str">
        <x:v>Roundup</x:v>
      </x:c>
      <x:c r="F111" s="95" t="str">
        <x:v>AF-PIL</x:v>
      </x:c>
      <x:c r="G111" s="95" t="str">
        <x:v>best air fryer with rotisserie</x:v>
      </x:c>
      <x:c r="H111" s="95" t="str">
        <x:v>Commercial Investigation</x:v>
      </x:c>
      <x:c r="I111" s="95" t="str">
        <x:v>BOFU</x:v>
      </x:c>
      <x:c r="J111" s="95" t="str">
        <x:v>Best Air Fryers with Rotisserie</x:v>
      </x:c>
      <x:c r="K111" s="95" t="str">
        <x:v>/best-air-fryer-with-rotisserie/</x:v>
      </x:c>
      <x:c r="L111" s="95" t="str">
        <x:v>High — product table + contextual CTAs</x:v>
      </x:c>
      <x:c r="M111" s="95" t="str">
        <x:v>Article + ItemList + BreadcrumbList</x:v>
      </x:c>
      <x:c r="N111" s="95" t="str">
        <x:v>2,500–4,000</x:v>
      </x:c>
      <x:c r="O111" s="95" t="str">
        <x:v>Original selection methodology; spec verification; decision criteria; custom comparison table; explain exclusions; ideally hands-on notes or documented research.</x:v>
      </x:c>
      <x:c r="P111" s="101" t="str">
        <x:v>Not Started</x:v>
      </x:c>
    </x:row>
    <x:row r="112">
      <x:c r="A112" s="100" t="n">
        <x:v>111</x:v>
      </x:c>
      <x:c r="B112" s="95" t="str">
        <x:v>BL-R13</x:v>
      </x:c>
      <x:c r="C112" s="95" t="str">
        <x:v>P3</x:v>
      </x:c>
      <x:c r="D112" s="95" t="str">
        <x:v>Blenders</x:v>
      </x:c>
      <x:c r="E112" s="95" t="str">
        <x:v>Roundup</x:v>
      </x:c>
      <x:c r="F112" s="95" t="str">
        <x:v>BL-PIL</x:v>
      </x:c>
      <x:c r="G112" s="95" t="str">
        <x:v>best easy to clean blender</x:v>
      </x:c>
      <x:c r="H112" s="95" t="str">
        <x:v>Commercial Investigation</x:v>
      </x:c>
      <x:c r="I112" s="95" t="str">
        <x:v>BOFU</x:v>
      </x:c>
      <x:c r="J112" s="95" t="str">
        <x:v>Best Easy-to-Clean Blenders</x:v>
      </x:c>
      <x:c r="K112" s="95" t="str">
        <x:v>/best-easy-to-clean-blender/</x:v>
      </x:c>
      <x:c r="L112" s="95" t="str">
        <x:v>High — product table + contextual CTAs</x:v>
      </x:c>
      <x:c r="M112" s="95" t="str">
        <x:v>Article + ItemList + BreadcrumbList</x:v>
      </x:c>
      <x:c r="N112" s="95" t="str">
        <x:v>2,500–4,000</x:v>
      </x:c>
      <x:c r="O112" s="95" t="str">
        <x:v>Original selection methodology; spec verification; decision criteria; custom comparison table; explain exclusions; ideally hands-on notes or documented research.</x:v>
      </x:c>
      <x:c r="P112" s="101" t="str">
        <x:v>Not Started</x:v>
      </x:c>
    </x:row>
    <x:row r="113">
      <x:c r="A113" s="100" t="n">
        <x:v>112</x:v>
      </x:c>
      <x:c r="B113" s="95" t="str">
        <x:v>BL-R14</x:v>
      </x:c>
      <x:c r="C113" s="95" t="str">
        <x:v>P3</x:v>
      </x:c>
      <x:c r="D113" s="95" t="str">
        <x:v>Blenders</x:v>
      </x:c>
      <x:c r="E113" s="95" t="str">
        <x:v>Roundup</x:v>
      </x:c>
      <x:c r="F113" s="95" t="str">
        <x:v>BL-PIL</x:v>
      </x:c>
      <x:c r="G113" s="95" t="str">
        <x:v>best blender for large family</x:v>
      </x:c>
      <x:c r="H113" s="95" t="str">
        <x:v>Commercial Investigation</x:v>
      </x:c>
      <x:c r="I113" s="95" t="str">
        <x:v>BOFU</x:v>
      </x:c>
      <x:c r="J113" s="95" t="str">
        <x:v>Best Blenders for Large Families</x:v>
      </x:c>
      <x:c r="K113" s="95" t="str">
        <x:v>/best-blender-for-large-family/</x:v>
      </x:c>
      <x:c r="L113" s="95" t="str">
        <x:v>High — product table + contextual CTAs</x:v>
      </x:c>
      <x:c r="M113" s="95" t="str">
        <x:v>Article + ItemList + BreadcrumbList</x:v>
      </x:c>
      <x:c r="N113" s="95" t="str">
        <x:v>2,500–4,000</x:v>
      </x:c>
      <x:c r="O113" s="95" t="str">
        <x:v>Original selection methodology; spec verification; decision criteria; custom comparison table; explain exclusions; ideally hands-on notes or documented research.</x:v>
      </x:c>
      <x:c r="P113" s="101" t="str">
        <x:v>Not Started</x:v>
      </x:c>
    </x:row>
    <x:row r="114">
      <x:c r="A114" s="100" t="n">
        <x:v>113</x:v>
      </x:c>
      <x:c r="B114" s="95" t="str">
        <x:v>BL-R15</x:v>
      </x:c>
      <x:c r="C114" s="95" t="str">
        <x:v>P3</x:v>
      </x:c>
      <x:c r="D114" s="95" t="str">
        <x:v>Blenders</x:v>
      </x:c>
      <x:c r="E114" s="95" t="str">
        <x:v>Roundup</x:v>
      </x:c>
      <x:c r="F114" s="95" t="str">
        <x:v>BL-PIL</x:v>
      </x:c>
      <x:c r="G114" s="95" t="str">
        <x:v>best portable blender</x:v>
      </x:c>
      <x:c r="H114" s="95" t="str">
        <x:v>Commercial Investigation</x:v>
      </x:c>
      <x:c r="I114" s="95" t="str">
        <x:v>BOFU</x:v>
      </x:c>
      <x:c r="J114" s="95" t="str">
        <x:v>Best Portable Blenders</x:v>
      </x:c>
      <x:c r="K114" s="95" t="str">
        <x:v>/best-portable-blender/</x:v>
      </x:c>
      <x:c r="L114" s="95" t="str">
        <x:v>High — product table + contextual CTAs</x:v>
      </x:c>
      <x:c r="M114" s="95" t="str">
        <x:v>Article + ItemList + BreadcrumbList</x:v>
      </x:c>
      <x:c r="N114" s="95" t="str">
        <x:v>2,500–4,000</x:v>
      </x:c>
      <x:c r="O114" s="95" t="str">
        <x:v>Original selection methodology; spec verification; decision criteria; custom comparison table; explain exclusions; ideally hands-on notes or documented research.</x:v>
      </x:c>
      <x:c r="P114" s="101" t="str">
        <x:v>Not Started</x:v>
      </x:c>
    </x:row>
    <x:row r="115">
      <x:c r="A115" s="100" t="n">
        <x:v>114</x:v>
      </x:c>
      <x:c r="B115" s="95" t="str">
        <x:v>CG-R01</x:v>
      </x:c>
      <x:c r="C115" s="95" t="str">
        <x:v>P3</x:v>
      </x:c>
      <x:c r="D115" s="95" t="str">
        <x:v>Coffee Grinders</x:v>
      </x:c>
      <x:c r="E115" s="95" t="str">
        <x:v>Roundup</x:v>
      </x:c>
      <x:c r="F115" s="95" t="str">
        <x:v>CG-PIL</x:v>
      </x:c>
      <x:c r="G115" s="95" t="str">
        <x:v>best coffee grinder under $100</x:v>
      </x:c>
      <x:c r="H115" s="95" t="str">
        <x:v>Commercial Investigation</x:v>
      </x:c>
      <x:c r="I115" s="95" t="str">
        <x:v>BOFU</x:v>
      </x:c>
      <x:c r="J115" s="95" t="str">
        <x:v>Best Coffee Grinders Under $100</x:v>
      </x:c>
      <x:c r="K115" s="95" t="str">
        <x:v>/best-coffee-grinder-under-100/</x:v>
      </x:c>
      <x:c r="L115" s="95" t="str">
        <x:v>High — product table + contextual CTAs</x:v>
      </x:c>
      <x:c r="M115" s="95" t="str">
        <x:v>Article + ItemList + BreadcrumbList</x:v>
      </x:c>
      <x:c r="N115" s="95" t="str">
        <x:v>2,500–4,000</x:v>
      </x:c>
      <x:c r="O115" s="95" t="str">
        <x:v>Original selection methodology; spec verification; decision criteria; custom comparison table; explain exclusions; ideally hands-on notes or documented research.</x:v>
      </x:c>
      <x:c r="P115" s="101" t="str">
        <x:v>Not Started</x:v>
      </x:c>
    </x:row>
    <x:row r="116">
      <x:c r="A116" s="100" t="n">
        <x:v>115</x:v>
      </x:c>
      <x:c r="B116" s="95" t="str">
        <x:v>CG-R02</x:v>
      </x:c>
      <x:c r="C116" s="95" t="str">
        <x:v>P3</x:v>
      </x:c>
      <x:c r="D116" s="95" t="str">
        <x:v>Coffee Grinders</x:v>
      </x:c>
      <x:c r="E116" s="95" t="str">
        <x:v>Roundup</x:v>
      </x:c>
      <x:c r="F116" s="95" t="str">
        <x:v>CG-PIL</x:v>
      </x:c>
      <x:c r="G116" s="95" t="str">
        <x:v>best burr coffee grinder</x:v>
      </x:c>
      <x:c r="H116" s="95" t="str">
        <x:v>Commercial Investigation</x:v>
      </x:c>
      <x:c r="I116" s="95" t="str">
        <x:v>BOFU</x:v>
      </x:c>
      <x:c r="J116" s="95" t="str">
        <x:v>Best Burr Coffee Grinders</x:v>
      </x:c>
      <x:c r="K116" s="95" t="str">
        <x:v>/best-burr-coffee-grinder/</x:v>
      </x:c>
      <x:c r="L116" s="95" t="str">
        <x:v>High — product table + contextual CTAs</x:v>
      </x:c>
      <x:c r="M116" s="95" t="str">
        <x:v>Article + ItemList + BreadcrumbList</x:v>
      </x:c>
      <x:c r="N116" s="95" t="str">
        <x:v>2,500–4,000</x:v>
      </x:c>
      <x:c r="O116" s="95" t="str">
        <x:v>Original selection methodology; spec verification; decision criteria; custom comparison table; explain exclusions; ideally hands-on notes or documented research.</x:v>
      </x:c>
      <x:c r="P116" s="101" t="str">
        <x:v>Not Started</x:v>
      </x:c>
    </x:row>
    <x:row r="117">
      <x:c r="A117" s="100" t="n">
        <x:v>116</x:v>
      </x:c>
      <x:c r="B117" s="95" t="str">
        <x:v>CG-R03</x:v>
      </x:c>
      <x:c r="C117" s="95" t="str">
        <x:v>P3</x:v>
      </x:c>
      <x:c r="D117" s="95" t="str">
        <x:v>Coffee Grinders</x:v>
      </x:c>
      <x:c r="E117" s="95" t="str">
        <x:v>Roundup</x:v>
      </x:c>
      <x:c r="F117" s="95" t="str">
        <x:v>CG-PIL</x:v>
      </x:c>
      <x:c r="G117" s="95" t="str">
        <x:v>best coffee grinder for espresso</x:v>
      </x:c>
      <x:c r="H117" s="95" t="str">
        <x:v>Commercial Investigation</x:v>
      </x:c>
      <x:c r="I117" s="95" t="str">
        <x:v>BOFU</x:v>
      </x:c>
      <x:c r="J117" s="95" t="str">
        <x:v>Best Coffee Grinders for Espresso</x:v>
      </x:c>
      <x:c r="K117" s="95" t="str">
        <x:v>/best-coffee-grinder-for-espresso/</x:v>
      </x:c>
      <x:c r="L117" s="95" t="str">
        <x:v>High — product table + contextual CTAs</x:v>
      </x:c>
      <x:c r="M117" s="95" t="str">
        <x:v>Article + ItemList + BreadcrumbList</x:v>
      </x:c>
      <x:c r="N117" s="95" t="str">
        <x:v>2,500–4,000</x:v>
      </x:c>
      <x:c r="O117" s="95" t="str">
        <x:v>Original selection methodology; spec verification; decision criteria; custom comparison table; explain exclusions; ideally hands-on notes or documented research.</x:v>
      </x:c>
      <x:c r="P117" s="101" t="str">
        <x:v>Not Started</x:v>
      </x:c>
    </x:row>
    <x:row r="118">
      <x:c r="A118" s="100" t="n">
        <x:v>117</x:v>
      </x:c>
      <x:c r="B118" s="95" t="str">
        <x:v>EK-R06</x:v>
      </x:c>
      <x:c r="C118" s="95" t="str">
        <x:v>P3</x:v>
      </x:c>
      <x:c r="D118" s="95" t="str">
        <x:v>Electric Kettles</x:v>
      </x:c>
      <x:c r="E118" s="95" t="str">
        <x:v>Roundup</x:v>
      </x:c>
      <x:c r="F118" s="95" t="str">
        <x:v>EK-PIL</x:v>
      </x:c>
      <x:c r="G118" s="95" t="str">
        <x:v>best stainless steel electric kettle</x:v>
      </x:c>
      <x:c r="H118" s="95" t="str">
        <x:v>Commercial Investigation</x:v>
      </x:c>
      <x:c r="I118" s="95" t="str">
        <x:v>BOFU</x:v>
      </x:c>
      <x:c r="J118" s="95" t="str">
        <x:v>Best Stainless Steel Electric Kettles</x:v>
      </x:c>
      <x:c r="K118" s="95" t="str">
        <x:v>/best-stainless-steel-electric-kettle/</x:v>
      </x:c>
      <x:c r="L118" s="95" t="str">
        <x:v>High — product table + contextual CTAs</x:v>
      </x:c>
      <x:c r="M118" s="95" t="str">
        <x:v>Article + ItemList + BreadcrumbList</x:v>
      </x:c>
      <x:c r="N118" s="95" t="str">
        <x:v>2,500–4,000</x:v>
      </x:c>
      <x:c r="O118" s="95" t="str">
        <x:v>Original selection methodology; spec verification; decision criteria; custom comparison table; explain exclusions; ideally hands-on notes or documented research.</x:v>
      </x:c>
      <x:c r="P118" s="101" t="str">
        <x:v>Not Started</x:v>
      </x:c>
    </x:row>
    <x:row r="119">
      <x:c r="A119" s="100" t="n">
        <x:v>118</x:v>
      </x:c>
      <x:c r="B119" s="95" t="str">
        <x:v>EK-R07</x:v>
      </x:c>
      <x:c r="C119" s="95" t="str">
        <x:v>P3</x:v>
      </x:c>
      <x:c r="D119" s="95" t="str">
        <x:v>Electric Kettles</x:v>
      </x:c>
      <x:c r="E119" s="95" t="str">
        <x:v>Roundup</x:v>
      </x:c>
      <x:c r="F119" s="95" t="str">
        <x:v>EK-PIL</x:v>
      </x:c>
      <x:c r="G119" s="95" t="str">
        <x:v>best glass electric kettle</x:v>
      </x:c>
      <x:c r="H119" s="95" t="str">
        <x:v>Commercial Investigation</x:v>
      </x:c>
      <x:c r="I119" s="95" t="str">
        <x:v>BOFU</x:v>
      </x:c>
      <x:c r="J119" s="95" t="str">
        <x:v>Best Glass Electric Kettles</x:v>
      </x:c>
      <x:c r="K119" s="95" t="str">
        <x:v>/best-glass-electric-kettle/</x:v>
      </x:c>
      <x:c r="L119" s="95" t="str">
        <x:v>High — product table + contextual CTAs</x:v>
      </x:c>
      <x:c r="M119" s="95" t="str">
        <x:v>Article + ItemList + BreadcrumbList</x:v>
      </x:c>
      <x:c r="N119" s="95" t="str">
        <x:v>2,500–4,000</x:v>
      </x:c>
      <x:c r="O119" s="95" t="str">
        <x:v>Original selection methodology; spec verification; decision criteria; custom comparison table; explain exclusions; ideally hands-on notes or documented research.</x:v>
      </x:c>
      <x:c r="P119" s="101" t="str">
        <x:v>Not Started</x:v>
      </x:c>
    </x:row>
    <x:row r="120">
      <x:c r="A120" s="100" t="n">
        <x:v>119</x:v>
      </x:c>
      <x:c r="B120" s="95" t="str">
        <x:v>EK-R08</x:v>
      </x:c>
      <x:c r="C120" s="95" t="str">
        <x:v>P3</x:v>
      </x:c>
      <x:c r="D120" s="95" t="str">
        <x:v>Electric Kettles</x:v>
      </x:c>
      <x:c r="E120" s="95" t="str">
        <x:v>Roundup</x:v>
      </x:c>
      <x:c r="F120" s="95" t="str">
        <x:v>EK-PIL</x:v>
      </x:c>
      <x:c r="G120" s="95" t="str">
        <x:v>best small electric kettle</x:v>
      </x:c>
      <x:c r="H120" s="95" t="str">
        <x:v>Commercial Investigation</x:v>
      </x:c>
      <x:c r="I120" s="95" t="str">
        <x:v>BOFU</x:v>
      </x:c>
      <x:c r="J120" s="95" t="str">
        <x:v>Best Small Electric Kettles</x:v>
      </x:c>
      <x:c r="K120" s="95" t="str">
        <x:v>/best-small-electric-kettle/</x:v>
      </x:c>
      <x:c r="L120" s="95" t="str">
        <x:v>High — product table + contextual CTAs</x:v>
      </x:c>
      <x:c r="M120" s="95" t="str">
        <x:v>Article + ItemList + BreadcrumbList</x:v>
      </x:c>
      <x:c r="N120" s="95" t="str">
        <x:v>2,500–4,000</x:v>
      </x:c>
      <x:c r="O120" s="95" t="str">
        <x:v>Original selection methodology; spec verification; decision criteria; custom comparison table; explain exclusions; ideally hands-on notes or documented research.</x:v>
      </x:c>
      <x:c r="P120" s="101" t="str">
        <x:v>Not Started</x:v>
      </x:c>
    </x:row>
    <x:row r="121">
      <x:c r="A121" s="100" t="n">
        <x:v>120</x:v>
      </x:c>
      <x:c r="B121" s="95" t="str">
        <x:v>EK-R09</x:v>
      </x:c>
      <x:c r="C121" s="95" t="str">
        <x:v>P3</x:v>
      </x:c>
      <x:c r="D121" s="95" t="str">
        <x:v>Electric Kettles</x:v>
      </x:c>
      <x:c r="E121" s="95" t="str">
        <x:v>Roundup</x:v>
      </x:c>
      <x:c r="F121" s="95" t="str">
        <x:v>EK-PIL</x:v>
      </x:c>
      <x:c r="G121" s="95" t="str">
        <x:v>best travel electric kettle</x:v>
      </x:c>
      <x:c r="H121" s="95" t="str">
        <x:v>Commercial Investigation</x:v>
      </x:c>
      <x:c r="I121" s="95" t="str">
        <x:v>BOFU</x:v>
      </x:c>
      <x:c r="J121" s="95" t="str">
        <x:v>Best Travel Electric Kettles</x:v>
      </x:c>
      <x:c r="K121" s="95" t="str">
        <x:v>/best-travel-electric-kettle/</x:v>
      </x:c>
      <x:c r="L121" s="95" t="str">
        <x:v>High — product table + contextual CTAs</x:v>
      </x:c>
      <x:c r="M121" s="95" t="str">
        <x:v>Article + ItemList + BreadcrumbList</x:v>
      </x:c>
      <x:c r="N121" s="95" t="str">
        <x:v>2,500–4,000</x:v>
      </x:c>
      <x:c r="O121" s="95" t="str">
        <x:v>Original selection methodology; spec verification; decision criteria; custom comparison table; explain exclusions; ideally hands-on notes or documented research.</x:v>
      </x:c>
      <x:c r="P121" s="101" t="str">
        <x:v>Not Started</x:v>
      </x:c>
    </x:row>
    <x:row r="122">
      <x:c r="A122" s="100" t="n">
        <x:v>121</x:v>
      </x:c>
      <x:c r="B122" s="95" t="str">
        <x:v>EK-R10</x:v>
      </x:c>
      <x:c r="C122" s="95" t="str">
        <x:v>P3</x:v>
      </x:c>
      <x:c r="D122" s="95" t="str">
        <x:v>Electric Kettles</x:v>
      </x:c>
      <x:c r="E122" s="95" t="str">
        <x:v>Roundup</x:v>
      </x:c>
      <x:c r="F122" s="95" t="str">
        <x:v>EK-PIL</x:v>
      </x:c>
      <x:c r="G122" s="95" t="str">
        <x:v>fastest electric kettle</x:v>
      </x:c>
      <x:c r="H122" s="95" t="str">
        <x:v>Commercial Investigation</x:v>
      </x:c>
      <x:c r="I122" s="95" t="str">
        <x:v>BOFU</x:v>
      </x:c>
      <x:c r="J122" s="95" t="str">
        <x:v>Fastest Boiling Electric Kettles</x:v>
      </x:c>
      <x:c r="K122" s="95" t="str">
        <x:v>/fastest-electric-kettle/</x:v>
      </x:c>
      <x:c r="L122" s="95" t="str">
        <x:v>High — product table + contextual CTAs</x:v>
      </x:c>
      <x:c r="M122" s="95" t="str">
        <x:v>Article + ItemList + BreadcrumbList</x:v>
      </x:c>
      <x:c r="N122" s="95" t="str">
        <x:v>2,500–4,000</x:v>
      </x:c>
      <x:c r="O122" s="95" t="str">
        <x:v>Original selection methodology; spec verification; decision criteria; custom comparison table; explain exclusions; ideally hands-on notes or documented research.</x:v>
      </x:c>
      <x:c r="P122" s="101" t="str">
        <x:v>Not Started</x:v>
      </x:c>
    </x:row>
    <x:row r="123">
      <x:c r="A123" s="100" t="n">
        <x:v>122</x:v>
      </x:c>
      <x:c r="B123" s="95" t="str">
        <x:v>FP-R01</x:v>
      </x:c>
      <x:c r="C123" s="95" t="str">
        <x:v>P3</x:v>
      </x:c>
      <x:c r="D123" s="95" t="str">
        <x:v>Food Processors</x:v>
      </x:c>
      <x:c r="E123" s="95" t="str">
        <x:v>Roundup</x:v>
      </x:c>
      <x:c r="F123" s="95" t="str">
        <x:v>FP-PIL</x:v>
      </x:c>
      <x:c r="G123" s="95" t="str">
        <x:v>best food processor under $100</x:v>
      </x:c>
      <x:c r="H123" s="95" t="str">
        <x:v>Commercial Investigation</x:v>
      </x:c>
      <x:c r="I123" s="95" t="str">
        <x:v>BOFU</x:v>
      </x:c>
      <x:c r="J123" s="95" t="str">
        <x:v>Best Food Processors Under $100</x:v>
      </x:c>
      <x:c r="K123" s="95" t="str">
        <x:v>/best-food-processor-under-100/</x:v>
      </x:c>
      <x:c r="L123" s="95" t="str">
        <x:v>High — product table + contextual CTAs</x:v>
      </x:c>
      <x:c r="M123" s="95" t="str">
        <x:v>Article + ItemList + BreadcrumbList</x:v>
      </x:c>
      <x:c r="N123" s="95" t="str">
        <x:v>2,500–4,000</x:v>
      </x:c>
      <x:c r="O123" s="95" t="str">
        <x:v>Original selection methodology; spec verification; decision criteria; custom comparison table; explain exclusions; ideally hands-on notes or documented research.</x:v>
      </x:c>
      <x:c r="P123" s="101" t="str">
        <x:v>Not Started</x:v>
      </x:c>
    </x:row>
    <x:row r="124">
      <x:c r="A124" s="100" t="n">
        <x:v>123</x:v>
      </x:c>
      <x:c r="B124" s="95" t="str">
        <x:v>FP-R02</x:v>
      </x:c>
      <x:c r="C124" s="95" t="str">
        <x:v>P3</x:v>
      </x:c>
      <x:c r="D124" s="95" t="str">
        <x:v>Food Processors</x:v>
      </x:c>
      <x:c r="E124" s="95" t="str">
        <x:v>Roundup</x:v>
      </x:c>
      <x:c r="F124" s="95" t="str">
        <x:v>FP-PIL</x:v>
      </x:c>
      <x:c r="G124" s="95" t="str">
        <x:v>best small food processor</x:v>
      </x:c>
      <x:c r="H124" s="95" t="str">
        <x:v>Commercial Investigation</x:v>
      </x:c>
      <x:c r="I124" s="95" t="str">
        <x:v>BOFU</x:v>
      </x:c>
      <x:c r="J124" s="95" t="str">
        <x:v>Best Small Food Processors</x:v>
      </x:c>
      <x:c r="K124" s="95" t="str">
        <x:v>/best-small-food-processor/</x:v>
      </x:c>
      <x:c r="L124" s="95" t="str">
        <x:v>High — product table + contextual CTAs</x:v>
      </x:c>
      <x:c r="M124" s="95" t="str">
        <x:v>Article + ItemList + BreadcrumbList</x:v>
      </x:c>
      <x:c r="N124" s="95" t="str">
        <x:v>2,500–4,000</x:v>
      </x:c>
      <x:c r="O124" s="95" t="str">
        <x:v>Original selection methodology; spec verification; decision criteria; custom comparison table; explain exclusions; ideally hands-on notes or documented research.</x:v>
      </x:c>
      <x:c r="P124" s="101" t="str">
        <x:v>Not Started</x:v>
      </x:c>
    </x:row>
    <x:row r="125">
      <x:c r="A125" s="100" t="n">
        <x:v>124</x:v>
      </x:c>
      <x:c r="B125" s="95" t="str">
        <x:v>FP-R03</x:v>
      </x:c>
      <x:c r="C125" s="95" t="str">
        <x:v>P3</x:v>
      </x:c>
      <x:c r="D125" s="95" t="str">
        <x:v>Food Processors</x:v>
      </x:c>
      <x:c r="E125" s="95" t="str">
        <x:v>Roundup</x:v>
      </x:c>
      <x:c r="F125" s="95" t="str">
        <x:v>FP-PIL</x:v>
      </x:c>
      <x:c r="G125" s="95" t="str">
        <x:v>best food processor for dough</x:v>
      </x:c>
      <x:c r="H125" s="95" t="str">
        <x:v>Commercial Investigation</x:v>
      </x:c>
      <x:c r="I125" s="95" t="str">
        <x:v>BOFU</x:v>
      </x:c>
      <x:c r="J125" s="95" t="str">
        <x:v>Best Food Processors for Dough</x:v>
      </x:c>
      <x:c r="K125" s="95" t="str">
        <x:v>/best-food-processor-for-dough/</x:v>
      </x:c>
      <x:c r="L125" s="95" t="str">
        <x:v>High — product table + contextual CTAs</x:v>
      </x:c>
      <x:c r="M125" s="95" t="str">
        <x:v>Article + ItemList + BreadcrumbList</x:v>
      </x:c>
      <x:c r="N125" s="95" t="str">
        <x:v>2,500–4,000</x:v>
      </x:c>
      <x:c r="O125" s="95" t="str">
        <x:v>Original selection methodology; spec verification; decision criteria; custom comparison table; explain exclusions; ideally hands-on notes or documented research.</x:v>
      </x:c>
      <x:c r="P125" s="101" t="str">
        <x:v>Not Started</x:v>
      </x:c>
    </x:row>
    <x:row r="126">
      <x:c r="A126" s="100" t="n">
        <x:v>125</x:v>
      </x:c>
      <x:c r="B126" s="95" t="str">
        <x:v>FP-R04</x:v>
      </x:c>
      <x:c r="C126" s="95" t="str">
        <x:v>P3</x:v>
      </x:c>
      <x:c r="D126" s="95" t="str">
        <x:v>Food Processors</x:v>
      </x:c>
      <x:c r="E126" s="95" t="str">
        <x:v>Roundup</x:v>
      </x:c>
      <x:c r="F126" s="95" t="str">
        <x:v>FP-PIL</x:v>
      </x:c>
      <x:c r="G126" s="95" t="str">
        <x:v>best food processor for slicing vegetables</x:v>
      </x:c>
      <x:c r="H126" s="95" t="str">
        <x:v>Commercial Investigation</x:v>
      </x:c>
      <x:c r="I126" s="95" t="str">
        <x:v>BOFU</x:v>
      </x:c>
      <x:c r="J126" s="95" t="str">
        <x:v>Best Food Processors for Slicing Vegetables</x:v>
      </x:c>
      <x:c r="K126" s="95" t="str">
        <x:v>/best-food-processor-for-slicing-vegetables/</x:v>
      </x:c>
      <x:c r="L126" s="95" t="str">
        <x:v>High — product table + contextual CTAs</x:v>
      </x:c>
      <x:c r="M126" s="95" t="str">
        <x:v>Article + ItemList + BreadcrumbList</x:v>
      </x:c>
      <x:c r="N126" s="95" t="str">
        <x:v>2,500–4,000</x:v>
      </x:c>
      <x:c r="O126" s="95" t="str">
        <x:v>Original selection methodology; spec verification; decision criteria; custom comparison table; explain exclusions; ideally hands-on notes or documented research.</x:v>
      </x:c>
      <x:c r="P126" s="101" t="str">
        <x:v>Not Started</x:v>
      </x:c>
    </x:row>
    <x:row r="127">
      <x:c r="A127" s="100" t="n">
        <x:v>126</x:v>
      </x:c>
      <x:c r="B127" s="95" t="str">
        <x:v>FP-R05</x:v>
      </x:c>
      <x:c r="C127" s="95" t="str">
        <x:v>P3</x:v>
      </x:c>
      <x:c r="D127" s="95" t="str">
        <x:v>Food Processors</x:v>
      </x:c>
      <x:c r="E127" s="95" t="str">
        <x:v>Roundup</x:v>
      </x:c>
      <x:c r="F127" s="95" t="str">
        <x:v>FP-PIL</x:v>
      </x:c>
      <x:c r="G127" s="95" t="str">
        <x:v>best food processor for shredding cheese</x:v>
      </x:c>
      <x:c r="H127" s="95" t="str">
        <x:v>Commercial Investigation</x:v>
      </x:c>
      <x:c r="I127" s="95" t="str">
        <x:v>BOFU</x:v>
      </x:c>
      <x:c r="J127" s="95" t="str">
        <x:v>Best Food Processors for Shredding Cheese</x:v>
      </x:c>
      <x:c r="K127" s="95" t="str">
        <x:v>/best-food-processor-for-shredding-cheese/</x:v>
      </x:c>
      <x:c r="L127" s="95" t="str">
        <x:v>High — product table + contextual CTAs</x:v>
      </x:c>
      <x:c r="M127" s="95" t="str">
        <x:v>Article + ItemList + BreadcrumbList</x:v>
      </x:c>
      <x:c r="N127" s="95" t="str">
        <x:v>2,500–4,000</x:v>
      </x:c>
      <x:c r="O127" s="95" t="str">
        <x:v>Original selection methodology; spec verification; decision criteria; custom comparison table; explain exclusions; ideally hands-on notes or documented research.</x:v>
      </x:c>
      <x:c r="P127" s="101" t="str">
        <x:v>Not Started</x:v>
      </x:c>
    </x:row>
    <x:row r="128">
      <x:c r="A128" s="100" t="n">
        <x:v>127</x:v>
      </x:c>
      <x:c r="B128" s="95" t="str">
        <x:v>FP-R06</x:v>
      </x:c>
      <x:c r="C128" s="95" t="str">
        <x:v>P3</x:v>
      </x:c>
      <x:c r="D128" s="95" t="str">
        <x:v>Food Processors</x:v>
      </x:c>
      <x:c r="E128" s="95" t="str">
        <x:v>Roundup</x:v>
      </x:c>
      <x:c r="F128" s="95" t="str">
        <x:v>FP-PIL</x:v>
      </x:c>
      <x:c r="G128" s="95" t="str">
        <x:v>best food processor for nut butter</x:v>
      </x:c>
      <x:c r="H128" s="95" t="str">
        <x:v>Commercial Investigation</x:v>
      </x:c>
      <x:c r="I128" s="95" t="str">
        <x:v>BOFU</x:v>
      </x:c>
      <x:c r="J128" s="95" t="str">
        <x:v>Best Food Processors for Nut Butter</x:v>
      </x:c>
      <x:c r="K128" s="95" t="str">
        <x:v>/best-food-processor-for-nut-butter/</x:v>
      </x:c>
      <x:c r="L128" s="95" t="str">
        <x:v>High — product table + contextual CTAs</x:v>
      </x:c>
      <x:c r="M128" s="95" t="str">
        <x:v>Article + ItemList + BreadcrumbList</x:v>
      </x:c>
      <x:c r="N128" s="95" t="str">
        <x:v>2,500–4,000</x:v>
      </x:c>
      <x:c r="O128" s="95" t="str">
        <x:v>Original selection methodology; spec verification; decision criteria; custom comparison table; explain exclusions; ideally hands-on notes or documented research.</x:v>
      </x:c>
      <x:c r="P128" s="101" t="str">
        <x:v>Not Started</x:v>
      </x:c>
    </x:row>
    <x:row r="129">
      <x:c r="A129" s="100" t="n">
        <x:v>128</x:v>
      </x:c>
      <x:c r="B129" s="95" t="str">
        <x:v>MC-R01</x:v>
      </x:c>
      <x:c r="C129" s="95" t="str">
        <x:v>P3</x:v>
      </x:c>
      <x:c r="D129" s="95" t="str">
        <x:v>Mini Choppers</x:v>
      </x:c>
      <x:c r="E129" s="95" t="str">
        <x:v>Roundup</x:v>
      </x:c>
      <x:c r="F129" s="95" t="str">
        <x:v>MC-PIL</x:v>
      </x:c>
      <x:c r="G129" s="95" t="str">
        <x:v>best mini food chopper under $50</x:v>
      </x:c>
      <x:c r="H129" s="95" t="str">
        <x:v>Commercial Investigation</x:v>
      </x:c>
      <x:c r="I129" s="95" t="str">
        <x:v>BOFU</x:v>
      </x:c>
      <x:c r="J129" s="95" t="str">
        <x:v>Best Mini Food Choppers Under $50</x:v>
      </x:c>
      <x:c r="K129" s="95" t="str">
        <x:v>/best-mini-food-chopper-under-50/</x:v>
      </x:c>
      <x:c r="L129" s="95" t="str">
        <x:v>High — product table + contextual CTAs</x:v>
      </x:c>
      <x:c r="M129" s="95" t="str">
        <x:v>Article + ItemList + BreadcrumbList</x:v>
      </x:c>
      <x:c r="N129" s="95" t="str">
        <x:v>2,500–4,000</x:v>
      </x:c>
      <x:c r="O129" s="95" t="str">
        <x:v>Original selection methodology; spec verification; decision criteria; custom comparison table; explain exclusions; ideally hands-on notes or documented research.</x:v>
      </x:c>
      <x:c r="P129" s="101" t="str">
        <x:v>Not Started</x:v>
      </x:c>
    </x:row>
    <x:row r="130">
      <x:c r="A130" s="100" t="n">
        <x:v>129</x:v>
      </x:c>
      <x:c r="B130" s="95" t="str">
        <x:v>MC-R02</x:v>
      </x:c>
      <x:c r="C130" s="95" t="str">
        <x:v>P3</x:v>
      </x:c>
      <x:c r="D130" s="95" t="str">
        <x:v>Mini Choppers</x:v>
      </x:c>
      <x:c r="E130" s="95" t="str">
        <x:v>Roundup</x:v>
      </x:c>
      <x:c r="F130" s="95" t="str">
        <x:v>MC-PIL</x:v>
      </x:c>
      <x:c r="G130" s="95" t="str">
        <x:v>best electric mini chopper</x:v>
      </x:c>
      <x:c r="H130" s="95" t="str">
        <x:v>Commercial Investigation</x:v>
      </x:c>
      <x:c r="I130" s="95" t="str">
        <x:v>BOFU</x:v>
      </x:c>
      <x:c r="J130" s="95" t="str">
        <x:v>Best Electric Mini Choppers</x:v>
      </x:c>
      <x:c r="K130" s="95" t="str">
        <x:v>/best-electric-mini-chopper/</x:v>
      </x:c>
      <x:c r="L130" s="95" t="str">
        <x:v>High — product table + contextual CTAs</x:v>
      </x:c>
      <x:c r="M130" s="95" t="str">
        <x:v>Article + ItemList + BreadcrumbList</x:v>
      </x:c>
      <x:c r="N130" s="95" t="str">
        <x:v>2,500–4,000</x:v>
      </x:c>
      <x:c r="O130" s="95" t="str">
        <x:v>Original selection methodology; spec verification; decision criteria; custom comparison table; explain exclusions; ideally hands-on notes or documented research.</x:v>
      </x:c>
      <x:c r="P130" s="101" t="str">
        <x:v>Not Started</x:v>
      </x:c>
    </x:row>
    <x:row r="131">
      <x:c r="A131" s="100" t="n">
        <x:v>130</x:v>
      </x:c>
      <x:c r="B131" s="95" t="str">
        <x:v>MC-R03</x:v>
      </x:c>
      <x:c r="C131" s="95" t="str">
        <x:v>P3</x:v>
      </x:c>
      <x:c r="D131" s="95" t="str">
        <x:v>Mini Choppers</x:v>
      </x:c>
      <x:c r="E131" s="95" t="str">
        <x:v>Roundup</x:v>
      </x:c>
      <x:c r="F131" s="95" t="str">
        <x:v>MC-PIL</x:v>
      </x:c>
      <x:c r="G131" s="95" t="str">
        <x:v>best mini chopper for onions</x:v>
      </x:c>
      <x:c r="H131" s="95" t="str">
        <x:v>Commercial Investigation</x:v>
      </x:c>
      <x:c r="I131" s="95" t="str">
        <x:v>BOFU</x:v>
      </x:c>
      <x:c r="J131" s="95" t="str">
        <x:v>Best Mini Choppers for Onions</x:v>
      </x:c>
      <x:c r="K131" s="95" t="str">
        <x:v>/best-mini-chopper-for-onions/</x:v>
      </x:c>
      <x:c r="L131" s="95" t="str">
        <x:v>High — product table + contextual CTAs</x:v>
      </x:c>
      <x:c r="M131" s="95" t="str">
        <x:v>Article + ItemList + BreadcrumbList</x:v>
      </x:c>
      <x:c r="N131" s="95" t="str">
        <x:v>2,500–4,000</x:v>
      </x:c>
      <x:c r="O131" s="95" t="str">
        <x:v>Original selection methodology; spec verification; decision criteria; custom comparison table; explain exclusions; ideally hands-on notes or documented research.</x:v>
      </x:c>
      <x:c r="P131" s="101" t="str">
        <x:v>Not Started</x:v>
      </x:c>
    </x:row>
    <x:row r="132">
      <x:c r="A132" s="100" t="n">
        <x:v>131</x:v>
      </x:c>
      <x:c r="B132" s="95" t="str">
        <x:v>RC-R01</x:v>
      </x:c>
      <x:c r="C132" s="95" t="str">
        <x:v>P3</x:v>
      </x:c>
      <x:c r="D132" s="95" t="str">
        <x:v>Rice Cookers</x:v>
      </x:c>
      <x:c r="E132" s="95" t="str">
        <x:v>Roundup</x:v>
      </x:c>
      <x:c r="F132" s="95" t="str">
        <x:v>RC-PIL</x:v>
      </x:c>
      <x:c r="G132" s="95" t="str">
        <x:v>best rice cooker under $50</x:v>
      </x:c>
      <x:c r="H132" s="95" t="str">
        <x:v>Commercial Investigation</x:v>
      </x:c>
      <x:c r="I132" s="95" t="str">
        <x:v>BOFU</x:v>
      </x:c>
      <x:c r="J132" s="95" t="str">
        <x:v>Best Rice Cookers Under $50</x:v>
      </x:c>
      <x:c r="K132" s="95" t="str">
        <x:v>/best-rice-cooker-under-50/</x:v>
      </x:c>
      <x:c r="L132" s="95" t="str">
        <x:v>High — product table + contextual CTAs</x:v>
      </x:c>
      <x:c r="M132" s="95" t="str">
        <x:v>Article + ItemList + BreadcrumbList</x:v>
      </x:c>
      <x:c r="N132" s="95" t="str">
        <x:v>2,500–4,000</x:v>
      </x:c>
      <x:c r="O132" s="95" t="str">
        <x:v>Original selection methodology; spec verification; decision criteria; custom comparison table; explain exclusions; ideally hands-on notes or documented research.</x:v>
      </x:c>
      <x:c r="P132" s="101" t="str">
        <x:v>Not Started</x:v>
      </x:c>
    </x:row>
    <x:row r="133">
      <x:c r="A133" s="100" t="n">
        <x:v>132</x:v>
      </x:c>
      <x:c r="B133" s="95" t="str">
        <x:v>RC-R02</x:v>
      </x:c>
      <x:c r="C133" s="95" t="str">
        <x:v>P3</x:v>
      </x:c>
      <x:c r="D133" s="95" t="str">
        <x:v>Rice Cookers</x:v>
      </x:c>
      <x:c r="E133" s="95" t="str">
        <x:v>Roundup</x:v>
      </x:c>
      <x:c r="F133" s="95" t="str">
        <x:v>RC-PIL</x:v>
      </x:c>
      <x:c r="G133" s="95" t="str">
        <x:v>best small rice cooker</x:v>
      </x:c>
      <x:c r="H133" s="95" t="str">
        <x:v>Commercial Investigation</x:v>
      </x:c>
      <x:c r="I133" s="95" t="str">
        <x:v>BOFU</x:v>
      </x:c>
      <x:c r="J133" s="95" t="str">
        <x:v>Best Small Rice Cookers</x:v>
      </x:c>
      <x:c r="K133" s="95" t="str">
        <x:v>/best-small-rice-cooker/</x:v>
      </x:c>
      <x:c r="L133" s="95" t="str">
        <x:v>High — product table + contextual CTAs</x:v>
      </x:c>
      <x:c r="M133" s="95" t="str">
        <x:v>Article + ItemList + BreadcrumbList</x:v>
      </x:c>
      <x:c r="N133" s="95" t="str">
        <x:v>2,500–4,000</x:v>
      </x:c>
      <x:c r="O133" s="95" t="str">
        <x:v>Original selection methodology; spec verification; decision criteria; custom comparison table; explain exclusions; ideally hands-on notes or documented research.</x:v>
      </x:c>
      <x:c r="P133" s="101" t="str">
        <x:v>Not Started</x:v>
      </x:c>
    </x:row>
    <x:row r="134">
      <x:c r="A134" s="100" t="n">
        <x:v>133</x:v>
      </x:c>
      <x:c r="B134" s="95" t="str">
        <x:v>RC-R03</x:v>
      </x:c>
      <x:c r="C134" s="95" t="str">
        <x:v>P3</x:v>
      </x:c>
      <x:c r="D134" s="95" t="str">
        <x:v>Rice Cookers</x:v>
      </x:c>
      <x:c r="E134" s="95" t="str">
        <x:v>Roundup</x:v>
      </x:c>
      <x:c r="F134" s="95" t="str">
        <x:v>RC-PIL</x:v>
      </x:c>
      <x:c r="G134" s="95" t="str">
        <x:v>best rice cooker for brown rice</x:v>
      </x:c>
      <x:c r="H134" s="95" t="str">
        <x:v>Commercial Investigation</x:v>
      </x:c>
      <x:c r="I134" s="95" t="str">
        <x:v>BOFU</x:v>
      </x:c>
      <x:c r="J134" s="95" t="str">
        <x:v>Best Rice Cookers for Brown Rice</x:v>
      </x:c>
      <x:c r="K134" s="95" t="str">
        <x:v>/best-rice-cooker-for-brown-rice/</x:v>
      </x:c>
      <x:c r="L134" s="95" t="str">
        <x:v>High — product table + contextual CTAs</x:v>
      </x:c>
      <x:c r="M134" s="95" t="str">
        <x:v>Article + ItemList + BreadcrumbList</x:v>
      </x:c>
      <x:c r="N134" s="95" t="str">
        <x:v>2,500–4,000</x:v>
      </x:c>
      <x:c r="O134" s="95" t="str">
        <x:v>Original selection methodology; spec verification; decision criteria; custom comparison table; explain exclusions; ideally hands-on notes or documented research.</x:v>
      </x:c>
      <x:c r="P134" s="101" t="str">
        <x:v>Not Started</x:v>
      </x:c>
    </x:row>
    <x:row r="135">
      <x:c r="A135" s="100" t="n">
        <x:v>134</x:v>
      </x:c>
      <x:c r="B135" s="95" t="str">
        <x:v>TO-R05</x:v>
      </x:c>
      <x:c r="C135" s="95" t="str">
        <x:v>P3</x:v>
      </x:c>
      <x:c r="D135" s="95" t="str">
        <x:v>Toaster Ovens</x:v>
      </x:c>
      <x:c r="E135" s="95" t="str">
        <x:v>Roundup</x:v>
      </x:c>
      <x:c r="F135" s="95" t="str">
        <x:v>TO-PIL</x:v>
      </x:c>
      <x:c r="G135" s="95" t="str">
        <x:v>best toaster oven for pizza</x:v>
      </x:c>
      <x:c r="H135" s="95" t="str">
        <x:v>Commercial Investigation</x:v>
      </x:c>
      <x:c r="I135" s="95" t="str">
        <x:v>BOFU</x:v>
      </x:c>
      <x:c r="J135" s="95" t="str">
        <x:v>Best Toaster Ovens for Pizza</x:v>
      </x:c>
      <x:c r="K135" s="95" t="str">
        <x:v>/best-toaster-oven-for-pizza/</x:v>
      </x:c>
      <x:c r="L135" s="95" t="str">
        <x:v>High — product table + contextual CTAs</x:v>
      </x:c>
      <x:c r="M135" s="95" t="str">
        <x:v>Article + ItemList + BreadcrumbList</x:v>
      </x:c>
      <x:c r="N135" s="95" t="str">
        <x:v>2,500–4,000</x:v>
      </x:c>
      <x:c r="O135" s="95" t="str">
        <x:v>Original selection methodology; spec verification; decision criteria; custom comparison table; explain exclusions; ideally hands-on notes or documented research.</x:v>
      </x:c>
      <x:c r="P135" s="101" t="str">
        <x:v>Not Started</x:v>
      </x:c>
    </x:row>
    <x:row r="136">
      <x:c r="A136" s="100" t="n">
        <x:v>135</x:v>
      </x:c>
      <x:c r="B136" s="95" t="str">
        <x:v>TO-R07</x:v>
      </x:c>
      <x:c r="C136" s="95" t="str">
        <x:v>P3</x:v>
      </x:c>
      <x:c r="D136" s="95" t="str">
        <x:v>Toaster Ovens</x:v>
      </x:c>
      <x:c r="E136" s="95" t="str">
        <x:v>Roundup</x:v>
      </x:c>
      <x:c r="F136" s="95" t="str">
        <x:v>TO-PIL</x:v>
      </x:c>
      <x:c r="G136" s="95" t="str">
        <x:v>best convection toaster oven</x:v>
      </x:c>
      <x:c r="H136" s="95" t="str">
        <x:v>Commercial Investigation</x:v>
      </x:c>
      <x:c r="I136" s="95" t="str">
        <x:v>BOFU</x:v>
      </x:c>
      <x:c r="J136" s="95" t="str">
        <x:v>Best Convection Toaster Ovens</x:v>
      </x:c>
      <x:c r="K136" s="95" t="str">
        <x:v>/best-convection-toaster-oven/</x:v>
      </x:c>
      <x:c r="L136" s="95" t="str">
        <x:v>High — product table + contextual CTAs</x:v>
      </x:c>
      <x:c r="M136" s="95" t="str">
        <x:v>Article + ItemList + BreadcrumbList</x:v>
      </x:c>
      <x:c r="N136" s="95" t="str">
        <x:v>2,500–4,000</x:v>
      </x:c>
      <x:c r="O136" s="95" t="str">
        <x:v>Original selection methodology; spec verification; decision criteria; custom comparison table; explain exclusions; ideally hands-on notes or documented research.</x:v>
      </x:c>
      <x:c r="P136" s="101" t="str">
        <x:v>Not Started</x:v>
      </x:c>
    </x:row>
    <x:row r="137">
      <x:c r="A137" s="100" t="n">
        <x:v>136</x:v>
      </x:c>
      <x:c r="B137" s="95" t="str">
        <x:v>TO-R08</x:v>
      </x:c>
      <x:c r="C137" s="95" t="str">
        <x:v>P3</x:v>
      </x:c>
      <x:c r="D137" s="95" t="str">
        <x:v>Toaster Ovens</x:v>
      </x:c>
      <x:c r="E137" s="95" t="str">
        <x:v>Roundup</x:v>
      </x:c>
      <x:c r="F137" s="95" t="str">
        <x:v>TO-PIL</x:v>
      </x:c>
      <x:c r="G137" s="95" t="str">
        <x:v>best easy to clean toaster oven</x:v>
      </x:c>
      <x:c r="H137" s="95" t="str">
        <x:v>Commercial Investigation</x:v>
      </x:c>
      <x:c r="I137" s="95" t="str">
        <x:v>BOFU</x:v>
      </x:c>
      <x:c r="J137" s="95" t="str">
        <x:v>Best Easy-to-Clean Toaster Ovens</x:v>
      </x:c>
      <x:c r="K137" s="95" t="str">
        <x:v>/best-easy-to-clean-toaster-oven/</x:v>
      </x:c>
      <x:c r="L137" s="95" t="str">
        <x:v>High — product table + contextual CTAs</x:v>
      </x:c>
      <x:c r="M137" s="95" t="str">
        <x:v>Article + ItemList + BreadcrumbList</x:v>
      </x:c>
      <x:c r="N137" s="95" t="str">
        <x:v>2,500–4,000</x:v>
      </x:c>
      <x:c r="O137" s="95" t="str">
        <x:v>Original selection methodology; spec verification; decision criteria; custom comparison table; explain exclusions; ideally hands-on notes or documented research.</x:v>
      </x:c>
      <x:c r="P137" s="101" t="str">
        <x:v>Not Started</x:v>
      </x:c>
    </x:row>
    <x:row r="138">
      <x:c r="A138" s="100" t="n">
        <x:v>137</x:v>
      </x:c>
      <x:c r="B138" s="95" t="str">
        <x:v>CG-C01</x:v>
      </x:c>
      <x:c r="C138" s="95" t="str">
        <x:v>P3</x:v>
      </x:c>
      <x:c r="D138" s="95" t="str">
        <x:v>Coffee Grinders</x:v>
      </x:c>
      <x:c r="E138" s="95" t="str">
        <x:v>Comparison</x:v>
      </x:c>
      <x:c r="F138" s="95" t="str">
        <x:v>CG-PIL</x:v>
      </x:c>
      <x:c r="G138" s="95" t="str">
        <x:v>burr grinder vs blade grinder</x:v>
      </x:c>
      <x:c r="H138" s="95" t="str">
        <x:v>Commercial Investigation</x:v>
      </x:c>
      <x:c r="I138" s="95" t="str">
        <x:v>BOFU</x:v>
      </x:c>
      <x:c r="J138" s="95" t="str">
        <x:v>Burr Grinder vs Blade Grinder</x:v>
      </x:c>
      <x:c r="K138" s="95" t="str">
        <x:v>/burr-grinder-vs-blade-grinder/</x:v>
      </x:c>
      <x:c r="L138" s="95" t="str">
        <x:v>High — both products + winner CTAs</x:v>
      </x:c>
      <x:c r="M138" s="95" t="str">
        <x:v>Article + ItemList + BreadcrumbList</x:v>
      </x:c>
      <x:c r="N138" s="95" t="str">
        <x:v>2,000–3,000</x:v>
      </x:c>
      <x:c r="O138" s="95" t="str">
        <x:v>Side-by-side criteria, validated specs, task-based winner logic, price checked date, clear uncertainty.</x:v>
      </x:c>
      <x:c r="P138" s="101" t="str">
        <x:v>Not Started</x:v>
      </x:c>
    </x:row>
    <x:row r="139">
      <x:c r="A139" s="100" t="n">
        <x:v>138</x:v>
      </x:c>
      <x:c r="B139" s="95" t="str">
        <x:v>EK-C02</x:v>
      </x:c>
      <x:c r="C139" s="95" t="str">
        <x:v>P3</x:v>
      </x:c>
      <x:c r="D139" s="95" t="str">
        <x:v>Electric Kettles</x:v>
      </x:c>
      <x:c r="E139" s="95" t="str">
        <x:v>Comparison</x:v>
      </x:c>
      <x:c r="F139" s="95" t="str">
        <x:v>EK-PIL</x:v>
      </x:c>
      <x:c r="G139" s="95" t="str">
        <x:v>glass vs stainless steel kettle</x:v>
      </x:c>
      <x:c r="H139" s="95" t="str">
        <x:v>Commercial Investigation</x:v>
      </x:c>
      <x:c r="I139" s="95" t="str">
        <x:v>BOFU</x:v>
      </x:c>
      <x:c r="J139" s="95" t="str">
        <x:v>Glass vs Stainless Steel Electric Kettle</x:v>
      </x:c>
      <x:c r="K139" s="95" t="str">
        <x:v>/glass-vs-stainless-steel-kettle/</x:v>
      </x:c>
      <x:c r="L139" s="95" t="str">
        <x:v>High — both products + winner CTAs</x:v>
      </x:c>
      <x:c r="M139" s="95" t="str">
        <x:v>Article + ItemList + BreadcrumbList</x:v>
      </x:c>
      <x:c r="N139" s="95" t="str">
        <x:v>2,000–3,000</x:v>
      </x:c>
      <x:c r="O139" s="95" t="str">
        <x:v>Side-by-side criteria, validated specs, task-based winner logic, price checked date, clear uncertainty.</x:v>
      </x:c>
      <x:c r="P139" s="101" t="str">
        <x:v>Not Started</x:v>
      </x:c>
    </x:row>
    <x:row r="140">
      <x:c r="A140" s="100" t="n">
        <x:v>139</x:v>
      </x:c>
      <x:c r="B140" s="95" t="str">
        <x:v>EK-C03</x:v>
      </x:c>
      <x:c r="C140" s="95" t="str">
        <x:v>P3</x:v>
      </x:c>
      <x:c r="D140" s="95" t="str">
        <x:v>Electric Kettles</x:v>
      </x:c>
      <x:c r="E140" s="95" t="str">
        <x:v>Comparison</x:v>
      </x:c>
      <x:c r="F140" s="95" t="str">
        <x:v>EK-PIL</x:v>
      </x:c>
      <x:c r="G140" s="95" t="str">
        <x:v>variable temperature vs regular kettle</x:v>
      </x:c>
      <x:c r="H140" s="95" t="str">
        <x:v>Commercial Investigation</x:v>
      </x:c>
      <x:c r="I140" s="95" t="str">
        <x:v>BOFU</x:v>
      </x:c>
      <x:c r="J140" s="95" t="str">
        <x:v>Variable Temperature vs Basic Electric Kettle</x:v>
      </x:c>
      <x:c r="K140" s="95" t="str">
        <x:v>/variable-temperature-vs-regular-kettle/</x:v>
      </x:c>
      <x:c r="L140" s="95" t="str">
        <x:v>High — both products + winner CTAs</x:v>
      </x:c>
      <x:c r="M140" s="95" t="str">
        <x:v>Article + ItemList + BreadcrumbList</x:v>
      </x:c>
      <x:c r="N140" s="95" t="str">
        <x:v>2,000–3,000</x:v>
      </x:c>
      <x:c r="O140" s="95" t="str">
        <x:v>Side-by-side criteria, validated specs, task-based winner logic, price checked date, clear uncertainty.</x:v>
      </x:c>
      <x:c r="P140" s="101" t="str">
        <x:v>Not Started</x:v>
      </x:c>
    </x:row>
    <x:row r="141">
      <x:c r="A141" s="100" t="n">
        <x:v>140</x:v>
      </x:c>
      <x:c r="B141" s="95" t="str">
        <x:v>FP-C01</x:v>
      </x:c>
      <x:c r="C141" s="95" t="str">
        <x:v>P3</x:v>
      </x:c>
      <x:c r="D141" s="95" t="str">
        <x:v>Food Processors</x:v>
      </x:c>
      <x:c r="E141" s="95" t="str">
        <x:v>Comparison</x:v>
      </x:c>
      <x:c r="F141" s="95" t="str">
        <x:v>FP-PIL</x:v>
      </x:c>
      <x:c r="G141" s="95" t="str">
        <x:v>cuisinart vs kitchenaid food processor</x:v>
      </x:c>
      <x:c r="H141" s="95" t="str">
        <x:v>Commercial Investigation</x:v>
      </x:c>
      <x:c r="I141" s="95" t="str">
        <x:v>BOFU</x:v>
      </x:c>
      <x:c r="J141" s="95" t="str">
        <x:v>Cuisinart vs KitchenAid Food Processor</x:v>
      </x:c>
      <x:c r="K141" s="95" t="str">
        <x:v>/cuisinart-vs-kitchenaid-food-processor/</x:v>
      </x:c>
      <x:c r="L141" s="95" t="str">
        <x:v>High — both products + winner CTAs</x:v>
      </x:c>
      <x:c r="M141" s="95" t="str">
        <x:v>Article + ItemList + BreadcrumbList</x:v>
      </x:c>
      <x:c r="N141" s="95" t="str">
        <x:v>2,000–3,000</x:v>
      </x:c>
      <x:c r="O141" s="95" t="str">
        <x:v>Side-by-side criteria, validated specs, task-based winner logic, price checked date, clear uncertainty.</x:v>
      </x:c>
      <x:c r="P141" s="101" t="str">
        <x:v>Not Started</x:v>
      </x:c>
    </x:row>
    <x:row r="142">
      <x:c r="A142" s="100" t="n">
        <x:v>141</x:v>
      </x:c>
      <x:c r="B142" s="95" t="str">
        <x:v>FP-C02</x:v>
      </x:c>
      <x:c r="C142" s="95" t="str">
        <x:v>P3</x:v>
      </x:c>
      <x:c r="D142" s="95" t="str">
        <x:v>Food Processors</x:v>
      </x:c>
      <x:c r="E142" s="95" t="str">
        <x:v>Comparison</x:v>
      </x:c>
      <x:c r="F142" s="95" t="str">
        <x:v>FP-PIL</x:v>
      </x:c>
      <x:c r="G142" s="95" t="str">
        <x:v>food processor vs mini chopper</x:v>
      </x:c>
      <x:c r="H142" s="95" t="str">
        <x:v>Commercial Investigation</x:v>
      </x:c>
      <x:c r="I142" s="95" t="str">
        <x:v>BOFU</x:v>
      </x:c>
      <x:c r="J142" s="95" t="str">
        <x:v>Food Processor vs Mini Chopper</x:v>
      </x:c>
      <x:c r="K142" s="95" t="str">
        <x:v>/food-processor-vs-mini-chopper/</x:v>
      </x:c>
      <x:c r="L142" s="95" t="str">
        <x:v>High — both products + winner CTAs</x:v>
      </x:c>
      <x:c r="M142" s="95" t="str">
        <x:v>Article + ItemList + BreadcrumbList</x:v>
      </x:c>
      <x:c r="N142" s="95" t="str">
        <x:v>2,000–3,000</x:v>
      </x:c>
      <x:c r="O142" s="95" t="str">
        <x:v>Side-by-side criteria, validated specs, task-based winner logic, price checked date, clear uncertainty.</x:v>
      </x:c>
      <x:c r="P142" s="101" t="str">
        <x:v>Not Started</x:v>
      </x:c>
    </x:row>
    <x:row r="143">
      <x:c r="A143" s="100" t="n">
        <x:v>142</x:v>
      </x:c>
      <x:c r="B143" s="95" t="str">
        <x:v>MC-C01</x:v>
      </x:c>
      <x:c r="C143" s="95" t="str">
        <x:v>P3</x:v>
      </x:c>
      <x:c r="D143" s="95" t="str">
        <x:v>Mini Choppers</x:v>
      </x:c>
      <x:c r="E143" s="95" t="str">
        <x:v>Comparison</x:v>
      </x:c>
      <x:c r="F143" s="95" t="str">
        <x:v>MC-PIL</x:v>
      </x:c>
      <x:c r="G143" s="95" t="str">
        <x:v>mini chopper vs food processor</x:v>
      </x:c>
      <x:c r="H143" s="95" t="str">
        <x:v>Commercial Investigation</x:v>
      </x:c>
      <x:c r="I143" s="95" t="str">
        <x:v>BOFU</x:v>
      </x:c>
      <x:c r="J143" s="95" t="str">
        <x:v>Mini Chopper vs Food Processor</x:v>
      </x:c>
      <x:c r="K143" s="95" t="str">
        <x:v>/mini-chopper-vs-food-processor/</x:v>
      </x:c>
      <x:c r="L143" s="95" t="str">
        <x:v>High — both products + winner CTAs</x:v>
      </x:c>
      <x:c r="M143" s="95" t="str">
        <x:v>Article + ItemList + BreadcrumbList</x:v>
      </x:c>
      <x:c r="N143" s="95" t="str">
        <x:v>2,000–3,000</x:v>
      </x:c>
      <x:c r="O143" s="95" t="str">
        <x:v>Side-by-side criteria, validated specs, task-based winner logic, price checked date, clear uncertainty.</x:v>
      </x:c>
      <x:c r="P143" s="101" t="str">
        <x:v>Not Started</x:v>
      </x:c>
    </x:row>
    <x:row r="144">
      <x:c r="A144" s="100" t="n">
        <x:v>143</x:v>
      </x:c>
      <x:c r="B144" s="95" t="str">
        <x:v>RC-C01</x:v>
      </x:c>
      <x:c r="C144" s="95" t="str">
        <x:v>P3</x:v>
      </x:c>
      <x:c r="D144" s="95" t="str">
        <x:v>Rice Cookers</x:v>
      </x:c>
      <x:c r="E144" s="95" t="str">
        <x:v>Comparison</x:v>
      </x:c>
      <x:c r="F144" s="95" t="str">
        <x:v>RC-PIL</x:v>
      </x:c>
      <x:c r="G144" s="95" t="str">
        <x:v>rice cooker vs instant pot</x:v>
      </x:c>
      <x:c r="H144" s="95" t="str">
        <x:v>Commercial Investigation</x:v>
      </x:c>
      <x:c r="I144" s="95" t="str">
        <x:v>BOFU</x:v>
      </x:c>
      <x:c r="J144" s="95" t="str">
        <x:v>Rice Cooker vs Instant Pot</x:v>
      </x:c>
      <x:c r="K144" s="95" t="str">
        <x:v>/rice-cooker-vs-instant-pot/</x:v>
      </x:c>
      <x:c r="L144" s="95" t="str">
        <x:v>High — both products + winner CTAs</x:v>
      </x:c>
      <x:c r="M144" s="95" t="str">
        <x:v>Article + ItemList + BreadcrumbList</x:v>
      </x:c>
      <x:c r="N144" s="95" t="str">
        <x:v>2,000–3,000</x:v>
      </x:c>
      <x:c r="O144" s="95" t="str">
        <x:v>Side-by-side criteria, validated specs, task-based winner logic, price checked date, clear uncertainty.</x:v>
      </x:c>
      <x:c r="P144" s="101" t="str">
        <x:v>Not Started</x:v>
      </x:c>
    </x:row>
    <x:row r="145">
      <x:c r="A145" s="100" t="n">
        <x:v>144</x:v>
      </x:c>
      <x:c r="B145" s="95" t="str">
        <x:v>TO-C03</x:v>
      </x:c>
      <x:c r="C145" s="95" t="str">
        <x:v>P3</x:v>
      </x:c>
      <x:c r="D145" s="95" t="str">
        <x:v>Toaster Ovens</x:v>
      </x:c>
      <x:c r="E145" s="95" t="str">
        <x:v>Comparison</x:v>
      </x:c>
      <x:c r="F145" s="95" t="str">
        <x:v>TO-PIL</x:v>
      </x:c>
      <x:c r="G145" s="95" t="str">
        <x:v>toaster oven vs microwave</x:v>
      </x:c>
      <x:c r="H145" s="95" t="str">
        <x:v>Commercial Investigation</x:v>
      </x:c>
      <x:c r="I145" s="95" t="str">
        <x:v>BOFU</x:v>
      </x:c>
      <x:c r="J145" s="95" t="str">
        <x:v>Toaster Oven vs Microwave</x:v>
      </x:c>
      <x:c r="K145" s="95" t="str">
        <x:v>/toaster-oven-vs-microwave/</x:v>
      </x:c>
      <x:c r="L145" s="95" t="str">
        <x:v>High — both products + winner CTAs</x:v>
      </x:c>
      <x:c r="M145" s="95" t="str">
        <x:v>Article + ItemList + BreadcrumbList</x:v>
      </x:c>
      <x:c r="N145" s="95" t="str">
        <x:v>2,000–3,000</x:v>
      </x:c>
      <x:c r="O145" s="95" t="str">
        <x:v>Side-by-side criteria, validated specs, task-based winner logic, price checked date, clear uncertainty.</x:v>
      </x:c>
      <x:c r="P145" s="101" t="str">
        <x:v>Not Started</x:v>
      </x:c>
    </x:row>
    <x:row r="146">
      <x:c r="A146" s="100" t="n">
        <x:v>145</x:v>
      </x:c>
      <x:c r="B146" s="95" t="str">
        <x:v>AF-V06</x:v>
      </x:c>
      <x:c r="C146" s="95" t="str">
        <x:v>P3</x:v>
      </x:c>
      <x:c r="D146" s="95" t="str">
        <x:v>Air Fryers</x:v>
      </x:c>
      <x:c r="E146" s="95" t="str">
        <x:v>Single Review</x:v>
      </x:c>
      <x:c r="F146" s="95" t="str">
        <x:v>AF-PIL</x:v>
      </x:c>
      <x:c r="G146" s="95" t="str">
        <x:v>chefman turbofry review</x:v>
      </x:c>
      <x:c r="H146" s="95" t="str">
        <x:v>Commercial Investigation</x:v>
      </x:c>
      <x:c r="I146" s="95" t="str">
        <x:v>BOFU</x:v>
      </x:c>
      <x:c r="J146" s="95" t="str">
        <x:v>Chefman TurboFry Air Fryer Review</x:v>
      </x:c>
      <x:c r="K146" s="95" t="str">
        <x:v>/chefman-turbofry-review/</x:v>
      </x:c>
      <x:c r="L146" s="95" t="str">
        <x:v>High — primary product + alternatives</x:v>
      </x:c>
      <x:c r="M146" s="95" t="str">
        <x:v>Product + Review + BreadcrumbList (only truthful first-party review data)</x:v>
      </x:c>
      <x:c r="N146" s="95" t="str">
        <x:v>1,800–2,800</x:v>
      </x:c>
      <x:c r="O146" s="95" t="str">
        <x:v>Hands-on testing preferred. Otherwise clearly disclose research-based review; add original analysis, test protocol, photos/data where available; never invent use.</x:v>
      </x:c>
      <x:c r="P146" s="101" t="str">
        <x:v>Not Started</x:v>
      </x:c>
    </x:row>
    <x:row r="147">
      <x:c r="A147" s="100" t="n">
        <x:v>146</x:v>
      </x:c>
      <x:c r="B147" s="95" t="str">
        <x:v>BL-V05</x:v>
      </x:c>
      <x:c r="C147" s="95" t="str">
        <x:v>P3</x:v>
      </x:c>
      <x:c r="D147" s="95" t="str">
        <x:v>Blenders</x:v>
      </x:c>
      <x:c r="E147" s="95" t="str">
        <x:v>Single Review</x:v>
      </x:c>
      <x:c r="F147" s="95" t="str">
        <x:v>BL-PIL</x:v>
      </x:c>
      <x:c r="G147" s="95" t="str">
        <x:v>beast blender review</x:v>
      </x:c>
      <x:c r="H147" s="95" t="str">
        <x:v>Commercial Investigation</x:v>
      </x:c>
      <x:c r="I147" s="95" t="str">
        <x:v>BOFU</x:v>
      </x:c>
      <x:c r="J147" s="95" t="str">
        <x:v>Beast Blender Review</x:v>
      </x:c>
      <x:c r="K147" s="95" t="str">
        <x:v>/beast-blender-review/</x:v>
      </x:c>
      <x:c r="L147" s="95" t="str">
        <x:v>High — primary product + alternatives</x:v>
      </x:c>
      <x:c r="M147" s="95" t="str">
        <x:v>Product + Review + BreadcrumbList (only truthful first-party review data)</x:v>
      </x:c>
      <x:c r="N147" s="95" t="str">
        <x:v>1,800–2,800</x:v>
      </x:c>
      <x:c r="O147" s="95" t="str">
        <x:v>Hands-on testing preferred. Otherwise clearly disclose research-based review; add original analysis, test protocol, photos/data where available; never invent use.</x:v>
      </x:c>
      <x:c r="P147" s="101" t="str">
        <x:v>Not Started</x:v>
      </x:c>
    </x:row>
    <x:row r="148">
      <x:c r="A148" s="100" t="n">
        <x:v>147</x:v>
      </x:c>
      <x:c r="B148" s="95" t="str">
        <x:v>BL-V06</x:v>
      </x:c>
      <x:c r="C148" s="95" t="str">
        <x:v>P3</x:v>
      </x:c>
      <x:c r="D148" s="95" t="str">
        <x:v>Blenders</x:v>
      </x:c>
      <x:c r="E148" s="95" t="str">
        <x:v>Single Review</x:v>
      </x:c>
      <x:c r="F148" s="95" t="str">
        <x:v>BL-PIL</x:v>
      </x:c>
      <x:c r="G148" s="95" t="str">
        <x:v>blendjet review</x:v>
      </x:c>
      <x:c r="H148" s="95" t="str">
        <x:v>Commercial Investigation</x:v>
      </x:c>
      <x:c r="I148" s="95" t="str">
        <x:v>BOFU</x:v>
      </x:c>
      <x:c r="J148" s="95" t="str">
        <x:v>BlendJet Portable Blender Review</x:v>
      </x:c>
      <x:c r="K148" s="95" t="str">
        <x:v>/blendjet-review/</x:v>
      </x:c>
      <x:c r="L148" s="95" t="str">
        <x:v>High — primary product + alternatives</x:v>
      </x:c>
      <x:c r="M148" s="95" t="str">
        <x:v>Product + Review + BreadcrumbList (only truthful first-party review data)</x:v>
      </x:c>
      <x:c r="N148" s="95" t="str">
        <x:v>1,800–2,800</x:v>
      </x:c>
      <x:c r="O148" s="95" t="str">
        <x:v>Hands-on testing preferred. Otherwise clearly disclose research-based review; add original analysis, test protocol, photos/data where available; never invent use.</x:v>
      </x:c>
      <x:c r="P148" s="101" t="str">
        <x:v>Not Started</x:v>
      </x:c>
    </x:row>
    <x:row r="149">
      <x:c r="A149" s="100" t="n">
        <x:v>148</x:v>
      </x:c>
      <x:c r="B149" s="95" t="str">
        <x:v>EK-V02</x:v>
      </x:c>
      <x:c r="C149" s="95" t="str">
        <x:v>P3</x:v>
      </x:c>
      <x:c r="D149" s="95" t="str">
        <x:v>Electric Kettles</x:v>
      </x:c>
      <x:c r="E149" s="95" t="str">
        <x:v>Single Review</x:v>
      </x:c>
      <x:c r="F149" s="95" t="str">
        <x:v>EK-PIL</x:v>
      </x:c>
      <x:c r="G149" s="95" t="str">
        <x:v>cuisinart perfectemp kettle review</x:v>
      </x:c>
      <x:c r="H149" s="95" t="str">
        <x:v>Commercial Investigation</x:v>
      </x:c>
      <x:c r="I149" s="95" t="str">
        <x:v>BOFU</x:v>
      </x:c>
      <x:c r="J149" s="95" t="str">
        <x:v>Cuisinart PerfecTemp Kettle Review</x:v>
      </x:c>
      <x:c r="K149" s="95" t="str">
        <x:v>/cuisinart-perfectemp-kettle-review/</x:v>
      </x:c>
      <x:c r="L149" s="95" t="str">
        <x:v>High — primary product + alternatives</x:v>
      </x:c>
      <x:c r="M149" s="95" t="str">
        <x:v>Product + Review + BreadcrumbList (only truthful first-party review data)</x:v>
      </x:c>
      <x:c r="N149" s="95" t="str">
        <x:v>1,800–2,800</x:v>
      </x:c>
      <x:c r="O149" s="95" t="str">
        <x:v>Hands-on testing preferred. Otherwise clearly disclose research-based review; add original analysis, test protocol, photos/data where available; never invent use.</x:v>
      </x:c>
      <x:c r="P149" s="101" t="str">
        <x:v>Not Started</x:v>
      </x:c>
    </x:row>
    <x:row r="150">
      <x:c r="A150" s="100" t="n">
        <x:v>149</x:v>
      </x:c>
      <x:c r="B150" s="95" t="str">
        <x:v>EK-V03</x:v>
      </x:c>
      <x:c r="C150" s="95" t="str">
        <x:v>P3</x:v>
      </x:c>
      <x:c r="D150" s="95" t="str">
        <x:v>Electric Kettles</x:v>
      </x:c>
      <x:c r="E150" s="95" t="str">
        <x:v>Single Review</x:v>
      </x:c>
      <x:c r="F150" s="95" t="str">
        <x:v>EK-PIL</x:v>
      </x:c>
      <x:c r="G150" s="95" t="str">
        <x:v>cosori gooseneck kettle review</x:v>
      </x:c>
      <x:c r="H150" s="95" t="str">
        <x:v>Commercial Investigation</x:v>
      </x:c>
      <x:c r="I150" s="95" t="str">
        <x:v>BOFU</x:v>
      </x:c>
      <x:c r="J150" s="95" t="str">
        <x:v>Cosori Gooseneck Kettle Review</x:v>
      </x:c>
      <x:c r="K150" s="95" t="str">
        <x:v>/cosori-gooseneck-kettle-review/</x:v>
      </x:c>
      <x:c r="L150" s="95" t="str">
        <x:v>High — primary product + alternatives</x:v>
      </x:c>
      <x:c r="M150" s="95" t="str">
        <x:v>Product + Review + BreadcrumbList (only truthful first-party review data)</x:v>
      </x:c>
      <x:c r="N150" s="95" t="str">
        <x:v>1,800–2,800</x:v>
      </x:c>
      <x:c r="O150" s="95" t="str">
        <x:v>Hands-on testing preferred. Otherwise clearly disclose research-based review; add original analysis, test protocol, photos/data where available; never invent use.</x:v>
      </x:c>
      <x:c r="P150" s="101" t="str">
        <x:v>Not Started</x:v>
      </x:c>
    </x:row>
    <x:row r="151">
      <x:c r="A151" s="100" t="n">
        <x:v>150</x:v>
      </x:c>
      <x:c r="B151" s="95" t="str">
        <x:v>FP-V01</x:v>
      </x:c>
      <x:c r="C151" s="95" t="str">
        <x:v>P3</x:v>
      </x:c>
      <x:c r="D151" s="95" t="str">
        <x:v>Food Processors</x:v>
      </x:c>
      <x:c r="E151" s="95" t="str">
        <x:v>Single Review</x:v>
      </x:c>
      <x:c r="F151" s="95" t="str">
        <x:v>FP-PIL</x:v>
      </x:c>
      <x:c r="G151" s="95" t="str">
        <x:v>cuisinart 14 cup food processor review</x:v>
      </x:c>
      <x:c r="H151" s="95" t="str">
        <x:v>Commercial Investigation</x:v>
      </x:c>
      <x:c r="I151" s="95" t="str">
        <x:v>BOFU</x:v>
      </x:c>
      <x:c r="J151" s="95" t="str">
        <x:v>Cuisinart 14-Cup Food Processor Review</x:v>
      </x:c>
      <x:c r="K151" s="95" t="str">
        <x:v>/cuisinart-14-cup-food-processor-review/</x:v>
      </x:c>
      <x:c r="L151" s="95" t="str">
        <x:v>High — primary product + alternatives</x:v>
      </x:c>
      <x:c r="M151" s="95" t="str">
        <x:v>Product + Review + BreadcrumbList (only truthful first-party review data)</x:v>
      </x:c>
      <x:c r="N151" s="95" t="str">
        <x:v>1,800–2,800</x:v>
      </x:c>
      <x:c r="O151" s="95" t="str">
        <x:v>Hands-on testing preferred. Otherwise clearly disclose research-based review; add original analysis, test protocol, photos/data where available; never invent use.</x:v>
      </x:c>
      <x:c r="P151" s="101" t="str">
        <x:v>Not Started</x:v>
      </x:c>
    </x:row>
    <x:row r="152">
      <x:c r="A152" s="100" t="n">
        <x:v>151</x:v>
      </x:c>
      <x:c r="B152" s="95" t="str">
        <x:v>TO-V02</x:v>
      </x:c>
      <x:c r="C152" s="95" t="str">
        <x:v>P3</x:v>
      </x:c>
      <x:c r="D152" s="95" t="str">
        <x:v>Toaster Ovens</x:v>
      </x:c>
      <x:c r="E152" s="95" t="str">
        <x:v>Single Review</x:v>
      </x:c>
      <x:c r="F152" s="95" t="str">
        <x:v>TO-PIL</x:v>
      </x:c>
      <x:c r="G152" s="95" t="str">
        <x:v>cuisinart chefs convection toaster oven review</x:v>
      </x:c>
      <x:c r="H152" s="95" t="str">
        <x:v>Commercial Investigation</x:v>
      </x:c>
      <x:c r="I152" s="95" t="str">
        <x:v>BOFU</x:v>
      </x:c>
      <x:c r="J152" s="95" t="str">
        <x:v>Cuisinart Chef's Convection Toaster Oven Review</x:v>
      </x:c>
      <x:c r="K152" s="95" t="str">
        <x:v>/cuisinart-chefs-convection-toaster-oven-review/</x:v>
      </x:c>
      <x:c r="L152" s="95" t="str">
        <x:v>High — primary product + alternatives</x:v>
      </x:c>
      <x:c r="M152" s="95" t="str">
        <x:v>Product + Review + BreadcrumbList (only truthful first-party review data)</x:v>
      </x:c>
      <x:c r="N152" s="95" t="str">
        <x:v>1,800–2,800</x:v>
      </x:c>
      <x:c r="O152" s="95" t="str">
        <x:v>Hands-on testing preferred. Otherwise clearly disclose research-based review; add original analysis, test protocol, photos/data where available; never invent use.</x:v>
      </x:c>
      <x:c r="P152" s="101" t="str">
        <x:v>Not Started</x:v>
      </x:c>
    </x:row>
    <x:row r="153">
      <x:c r="A153" s="100" t="n">
        <x:v>152</x:v>
      </x:c>
      <x:c r="B153" s="95" t="str">
        <x:v>TO-V03</x:v>
      </x:c>
      <x:c r="C153" s="95" t="str">
        <x:v>P3</x:v>
      </x:c>
      <x:c r="D153" s="95" t="str">
        <x:v>Toaster Ovens</x:v>
      </x:c>
      <x:c r="E153" s="95" t="str">
        <x:v>Single Review</x:v>
      </x:c>
      <x:c r="F153" s="95" t="str">
        <x:v>TO-PIL</x:v>
      </x:c>
      <x:c r="G153" s="95" t="str">
        <x:v>ninja foodi digital air fry oven review</x:v>
      </x:c>
      <x:c r="H153" s="95" t="str">
        <x:v>Commercial Investigation</x:v>
      </x:c>
      <x:c r="I153" s="95" t="str">
        <x:v>BOFU</x:v>
      </x:c>
      <x:c r="J153" s="95" t="str">
        <x:v>Ninja Foodi Digital Air Fry Oven Review</x:v>
      </x:c>
      <x:c r="K153" s="95" t="str">
        <x:v>/ninja-foodi-digital-air-fry-oven-review/</x:v>
      </x:c>
      <x:c r="L153" s="95" t="str">
        <x:v>High — primary product + alternatives</x:v>
      </x:c>
      <x:c r="M153" s="95" t="str">
        <x:v>Product + Review + BreadcrumbList (only truthful first-party review data)</x:v>
      </x:c>
      <x:c r="N153" s="95" t="str">
        <x:v>1,800–2,800</x:v>
      </x:c>
      <x:c r="O153" s="95" t="str">
        <x:v>Hands-on testing preferred. Otherwise clearly disclose research-based review; add original analysis, test protocol, photos/data where available; never invent use.</x:v>
      </x:c>
      <x:c r="P153" s="101" t="str">
        <x:v>Not Started</x:v>
      </x:c>
    </x:row>
    <x:row r="154">
      <x:c r="A154" s="100" t="n">
        <x:v>153</x:v>
      </x:c>
      <x:c r="B154" s="95" t="str">
        <x:v>AF-G10</x:v>
      </x:c>
      <x:c r="C154" s="95" t="str">
        <x:v>P3</x:v>
      </x:c>
      <x:c r="D154" s="95" t="str">
        <x:v>Air Fryers</x:v>
      </x:c>
      <x:c r="E154" s="95" t="str">
        <x:v>Buying Guide</x:v>
      </x:c>
      <x:c r="F154" s="95" t="str">
        <x:v>AF-HUB</x:v>
      </x:c>
      <x:c r="G154" s="95" t="str">
        <x:v>air fryer safety guide</x:v>
      </x:c>
      <x:c r="H154" s="95" t="str">
        <x:v>Informational</x:v>
      </x:c>
      <x:c r="I154" s="95" t="str">
        <x:v>TOFU/MOFU</x:v>
      </x:c>
      <x:c r="J154" s="95" t="str">
        <x:v>Air Fryer Safety and Material Guide</x:v>
      </x:c>
      <x:c r="K154" s="95" t="str">
        <x:v>/air-fryer-safety-guide/</x:v>
      </x:c>
      <x:c r="L154" s="95" t="str">
        <x:v>Medium — recommended examples</x:v>
      </x:c>
      <x:c r="M154" s="95" t="str">
        <x:v>Article + BreadcrumbList</x:v>
      </x:c>
      <x:c r="N154" s="95" t="str">
        <x:v>2,200–3,500</x:v>
      </x:c>
      <x:c r="O154" s="95" t="str">
        <x:v>Primary-source/manual references where useful; calculations/examples; original explanation; safety caveats; no generic rewritten filler.</x:v>
      </x:c>
      <x:c r="P154" s="101" t="str">
        <x:v>Not Started</x:v>
      </x:c>
    </x:row>
    <x:row r="155">
      <x:c r="A155" s="100" t="n">
        <x:v>154</x:v>
      </x:c>
      <x:c r="B155" s="95" t="str">
        <x:v>CG-G01</x:v>
      </x:c>
      <x:c r="C155" s="95" t="str">
        <x:v>P3</x:v>
      </x:c>
      <x:c r="D155" s="95" t="str">
        <x:v>Coffee Grinders</x:v>
      </x:c>
      <x:c r="E155" s="95" t="str">
        <x:v>Buying Guide</x:v>
      </x:c>
      <x:c r="F155" s="95" t="str">
        <x:v>CG-HUB</x:v>
      </x:c>
      <x:c r="G155" s="95" t="str">
        <x:v>coffee grinder buying guide</x:v>
      </x:c>
      <x:c r="H155" s="95" t="str">
        <x:v>Informational</x:v>
      </x:c>
      <x:c r="I155" s="95" t="str">
        <x:v>TOFU/MOFU</x:v>
      </x:c>
      <x:c r="J155" s="95" t="str">
        <x:v>Coffee Grinder Buying Guide</x:v>
      </x:c>
      <x:c r="K155" s="95" t="str">
        <x:v>/coffee-grinder-buying-guide/</x:v>
      </x:c>
      <x:c r="L155" s="95" t="str">
        <x:v>Medium — recommended examples</x:v>
      </x:c>
      <x:c r="M155" s="95" t="str">
        <x:v>Article + BreadcrumbList</x:v>
      </x:c>
      <x:c r="N155" s="95" t="str">
        <x:v>2,200–3,500</x:v>
      </x:c>
      <x:c r="O155" s="95" t="str">
        <x:v>Primary-source/manual references where useful; calculations/examples; original explanation; safety caveats; no generic rewritten filler.</x:v>
      </x:c>
      <x:c r="P155" s="101" t="str">
        <x:v>Not Started</x:v>
      </x:c>
    </x:row>
    <x:row r="156">
      <x:c r="A156" s="100" t="n">
        <x:v>155</x:v>
      </x:c>
      <x:c r="B156" s="95" t="str">
        <x:v>CC-G10</x:v>
      </x:c>
      <x:c r="C156" s="95" t="str">
        <x:v>P3</x:v>
      </x:c>
      <x:c r="D156" s="95" t="str">
        <x:v>Cross-Category</x:v>
      </x:c>
      <x:c r="E156" s="95" t="str">
        <x:v>Buying Guide</x:v>
      </x:c>
      <x:c r="F156" s="95" t="str"/>
      <x:c r="G156" s="95" t="str">
        <x:v>kitchen appliance warranty guide</x:v>
      </x:c>
      <x:c r="H156" s="95" t="str">
        <x:v>Informational</x:v>
      </x:c>
      <x:c r="I156" s="95" t="str">
        <x:v>TOFU/MOFU</x:v>
      </x:c>
      <x:c r="J156" s="95" t="str">
        <x:v>Kitchen Appliance Warranty Guide</x:v>
      </x:c>
      <x:c r="K156" s="95" t="str">
        <x:v>/kitchen-appliance-warranty-guide/</x:v>
      </x:c>
      <x:c r="L156" s="95" t="str">
        <x:v>Medium — recommended examples</x:v>
      </x:c>
      <x:c r="M156" s="95" t="str">
        <x:v>Article + BreadcrumbList</x:v>
      </x:c>
      <x:c r="N156" s="95" t="str">
        <x:v>2,200–3,500</x:v>
      </x:c>
      <x:c r="O156" s="95" t="str">
        <x:v>Primary-source/manual references where useful; calculations/examples; original explanation; safety caveats; no generic rewritten filler.</x:v>
      </x:c>
      <x:c r="P156" s="101" t="str">
        <x:v>Not Started</x:v>
      </x:c>
    </x:row>
    <x:row r="157">
      <x:c r="A157" s="100" t="n">
        <x:v>156</x:v>
      </x:c>
      <x:c r="B157" s="95" t="str">
        <x:v>FP-G01</x:v>
      </x:c>
      <x:c r="C157" s="95" t="str">
        <x:v>P3</x:v>
      </x:c>
      <x:c r="D157" s="95" t="str">
        <x:v>Food Processors</x:v>
      </x:c>
      <x:c r="E157" s="95" t="str">
        <x:v>Buying Guide</x:v>
      </x:c>
      <x:c r="F157" s="95" t="str">
        <x:v>FP-HUB</x:v>
      </x:c>
      <x:c r="G157" s="95" t="str">
        <x:v>food processor buying guide</x:v>
      </x:c>
      <x:c r="H157" s="95" t="str">
        <x:v>Informational</x:v>
      </x:c>
      <x:c r="I157" s="95" t="str">
        <x:v>TOFU/MOFU</x:v>
      </x:c>
      <x:c r="J157" s="95" t="str">
        <x:v>Food Processor Buying Guide</x:v>
      </x:c>
      <x:c r="K157" s="95" t="str">
        <x:v>/food-processor-buying-guide/</x:v>
      </x:c>
      <x:c r="L157" s="95" t="str">
        <x:v>Medium — recommended examples</x:v>
      </x:c>
      <x:c r="M157" s="95" t="str">
        <x:v>Article + BreadcrumbList</x:v>
      </x:c>
      <x:c r="N157" s="95" t="str">
        <x:v>2,200–3,500</x:v>
      </x:c>
      <x:c r="O157" s="95" t="str">
        <x:v>Primary-source/manual references where useful; calculations/examples; original explanation; safety caveats; no generic rewritten filler.</x:v>
      </x:c>
      <x:c r="P157" s="101" t="str">
        <x:v>Not Started</x:v>
      </x:c>
    </x:row>
    <x:row r="158">
      <x:c r="A158" s="100" t="n">
        <x:v>157</x:v>
      </x:c>
      <x:c r="B158" s="95" t="str">
        <x:v>MC-G01</x:v>
      </x:c>
      <x:c r="C158" s="95" t="str">
        <x:v>P3</x:v>
      </x:c>
      <x:c r="D158" s="95" t="str">
        <x:v>Mini Choppers</x:v>
      </x:c>
      <x:c r="E158" s="95" t="str">
        <x:v>Buying Guide</x:v>
      </x:c>
      <x:c r="F158" s="95" t="str">
        <x:v>MC-HUB</x:v>
      </x:c>
      <x:c r="G158" s="95" t="str">
        <x:v>mini food chopper buying guide</x:v>
      </x:c>
      <x:c r="H158" s="95" t="str">
        <x:v>Informational</x:v>
      </x:c>
      <x:c r="I158" s="95" t="str">
        <x:v>TOFU/MOFU</x:v>
      </x:c>
      <x:c r="J158" s="95" t="str">
        <x:v>Mini Food Chopper Buying Guide</x:v>
      </x:c>
      <x:c r="K158" s="95" t="str">
        <x:v>/mini-food-chopper-buying-guide/</x:v>
      </x:c>
      <x:c r="L158" s="95" t="str">
        <x:v>Medium — recommended examples</x:v>
      </x:c>
      <x:c r="M158" s="95" t="str">
        <x:v>Article + BreadcrumbList</x:v>
      </x:c>
      <x:c r="N158" s="95" t="str">
        <x:v>2,200–3,500</x:v>
      </x:c>
      <x:c r="O158" s="95" t="str">
        <x:v>Primary-source/manual references where useful; calculations/examples; original explanation; safety caveats; no generic rewritten filler.</x:v>
      </x:c>
      <x:c r="P158" s="101" t="str">
        <x:v>Not Started</x:v>
      </x:c>
    </x:row>
    <x:row r="159">
      <x:c r="A159" s="100" t="n">
        <x:v>158</x:v>
      </x:c>
      <x:c r="B159" s="95" t="str">
        <x:v>RC-G01</x:v>
      </x:c>
      <x:c r="C159" s="95" t="str">
        <x:v>P3</x:v>
      </x:c>
      <x:c r="D159" s="95" t="str">
        <x:v>Rice Cookers</x:v>
      </x:c>
      <x:c r="E159" s="95" t="str">
        <x:v>Buying Guide</x:v>
      </x:c>
      <x:c r="F159" s="95" t="str">
        <x:v>RC-HUB</x:v>
      </x:c>
      <x:c r="G159" s="95" t="str">
        <x:v>rice cooker buying guide</x:v>
      </x:c>
      <x:c r="H159" s="95" t="str">
        <x:v>Informational</x:v>
      </x:c>
      <x:c r="I159" s="95" t="str">
        <x:v>TOFU/MOFU</x:v>
      </x:c>
      <x:c r="J159" s="95" t="str">
        <x:v>Rice Cooker Buying Guide</x:v>
      </x:c>
      <x:c r="K159" s="95" t="str">
        <x:v>/rice-cooker-buying-guide/</x:v>
      </x:c>
      <x:c r="L159" s="95" t="str">
        <x:v>Medium — recommended examples</x:v>
      </x:c>
      <x:c r="M159" s="95" t="str">
        <x:v>Article + BreadcrumbList</x:v>
      </x:c>
      <x:c r="N159" s="95" t="str">
        <x:v>2,200–3,500</x:v>
      </x:c>
      <x:c r="O159" s="95" t="str">
        <x:v>Primary-source/manual references where useful; calculations/examples; original explanation; safety caveats; no generic rewritten filler.</x:v>
      </x:c>
      <x:c r="P159" s="101" t="str">
        <x:v>Not Started</x:v>
      </x:c>
    </x:row>
    <x:row r="160">
      <x:c r="A160" s="100" t="n">
        <x:v>159</x:v>
      </x:c>
      <x:c r="B160" s="95" t="str">
        <x:v>CC-G07</x:v>
      </x:c>
      <x:c r="C160" s="95" t="str">
        <x:v>P3</x:v>
      </x:c>
      <x:c r="D160" s="95" t="str">
        <x:v>Cross-Category</x:v>
      </x:c>
      <x:c r="E160" s="95" t="str">
        <x:v>Accessory Roundup</x:v>
      </x:c>
      <x:c r="F160" s="95" t="str"/>
      <x:c r="G160" s="95" t="str">
        <x:v>best appliance cord organizer</x:v>
      </x:c>
      <x:c r="H160" s="95" t="str">
        <x:v>Commercial Investigation</x:v>
      </x:c>
      <x:c r="I160" s="95" t="str">
        <x:v>BOFU</x:v>
      </x:c>
      <x:c r="J160" s="95" t="str">
        <x:v>Best Cord Organizers for Countertop Appliances</x:v>
      </x:c>
      <x:c r="K160" s="95" t="str">
        <x:v>/best-appliance-cord-organizers/</x:v>
      </x:c>
      <x:c r="L160" s="95" t="str">
        <x:v>High — product table + contextual CTAs</x:v>
      </x:c>
      <x:c r="M160" s="95" t="str">
        <x:v>Article + ItemList + BreadcrumbList</x:v>
      </x:c>
      <x:c r="N160" s="95" t="str">
        <x:v>2,200–3,500</x:v>
      </x:c>
      <x:c r="O160" s="95" t="str">
        <x:v>Original selection methodology; spec verification; decision criteria; custom comparison table; explain exclusions; ideally hands-on notes or documented research.</x:v>
      </x:c>
      <x:c r="P160" s="101" t="str">
        <x:v>Not Started</x:v>
      </x:c>
    </x:row>
    <x:row r="161">
      <x:c r="A161" s="100" t="n">
        <x:v>160</x:v>
      </x:c>
      <x:c r="B161" s="95" t="str">
        <x:v>AF-G08</x:v>
      </x:c>
      <x:c r="C161" s="95" t="str">
        <x:v>P3</x:v>
      </x:c>
      <x:c r="D161" s="95" t="str">
        <x:v>Air Fryers</x:v>
      </x:c>
      <x:c r="E161" s="95" t="str">
        <x:v>Informational</x:v>
      </x:c>
      <x:c r="F161" s="95" t="str">
        <x:v>AF-HUB</x:v>
      </x:c>
      <x:c r="G161" s="95" t="str">
        <x:v>how long do air fryers last</x:v>
      </x:c>
      <x:c r="H161" s="95" t="str">
        <x:v>Informational</x:v>
      </x:c>
      <x:c r="I161" s="95" t="str">
        <x:v>TOFU/MOFU</x:v>
      </x:c>
      <x:c r="J161" s="95" t="str">
        <x:v>How Long Do Air Fryers Last?</x:v>
      </x:c>
      <x:c r="K161" s="95" t="str">
        <x:v>/how-long-do-air-fryers-last/</x:v>
      </x:c>
      <x:c r="L161" s="95" t="str">
        <x:v>Low/Medium — contextual product links only</x:v>
      </x:c>
      <x:c r="M161" s="95" t="str">
        <x:v>Article + BreadcrumbList</x:v>
      </x:c>
      <x:c r="N161" s="95" t="str">
        <x:v>1,200–2,200</x:v>
      </x:c>
      <x:c r="O161" s="95" t="str">
        <x:v>Primary-source/manual references where useful; calculations/examples; original explanation; safety caveats; no generic rewritten filler.</x:v>
      </x:c>
      <x:c r="P161" s="101" t="str">
        <x:v>Not Started</x:v>
      </x:c>
    </x:row>
    <x:row r="162">
      <x:c r="A162" s="100" t="n">
        <x:v>161</x:v>
      </x:c>
      <x:c r="B162" s="95" t="str">
        <x:v>BL-G05</x:v>
      </x:c>
      <x:c r="C162" s="95" t="str">
        <x:v>P3</x:v>
      </x:c>
      <x:c r="D162" s="95" t="str">
        <x:v>Blenders</x:v>
      </x:c>
      <x:c r="E162" s="95" t="str">
        <x:v>Informational</x:v>
      </x:c>
      <x:c r="F162" s="95" t="str">
        <x:v>BL-HUB</x:v>
      </x:c>
      <x:c r="G162" s="95" t="str">
        <x:v>why does my blender smell burnt</x:v>
      </x:c>
      <x:c r="H162" s="95" t="str">
        <x:v>Informational</x:v>
      </x:c>
      <x:c r="I162" s="95" t="str">
        <x:v>TOFU/MOFU</x:v>
      </x:c>
      <x:c r="J162" s="95" t="str">
        <x:v>Why Does My Blender Smell Burnt?</x:v>
      </x:c>
      <x:c r="K162" s="95" t="str">
        <x:v>/why-does-my-blender-smell-burnt/</x:v>
      </x:c>
      <x:c r="L162" s="95" t="str">
        <x:v>Low/Medium — contextual product links only</x:v>
      </x:c>
      <x:c r="M162" s="95" t="str">
        <x:v>Article + BreadcrumbList</x:v>
      </x:c>
      <x:c r="N162" s="95" t="str">
        <x:v>1,200–2,200</x:v>
      </x:c>
      <x:c r="O162" s="95" t="str">
        <x:v>Primary-source/manual references where useful; calculations/examples; original explanation; safety caveats; no generic rewritten filler.</x:v>
      </x:c>
      <x:c r="P162" s="101" t="str">
        <x:v>Not Started</x:v>
      </x:c>
    </x:row>
    <x:row r="163">
      <x:c r="A163" s="100" t="n">
        <x:v>162</x:v>
      </x:c>
      <x:c r="B163" s="95" t="str">
        <x:v>BL-G06</x:v>
      </x:c>
      <x:c r="C163" s="95" t="str">
        <x:v>P3</x:v>
      </x:c>
      <x:c r="D163" s="95" t="str">
        <x:v>Blenders</x:v>
      </x:c>
      <x:c r="E163" s="95" t="str">
        <x:v>Informational</x:v>
      </x:c>
      <x:c r="F163" s="95" t="str">
        <x:v>BL-HUB</x:v>
      </x:c>
      <x:c r="G163" s="95" t="str">
        <x:v>why is my blender leaking</x:v>
      </x:c>
      <x:c r="H163" s="95" t="str">
        <x:v>Informational</x:v>
      </x:c>
      <x:c r="I163" s="95" t="str">
        <x:v>TOFU/MOFU</x:v>
      </x:c>
      <x:c r="J163" s="95" t="str">
        <x:v>Why Is My Blender Leaking?</x:v>
      </x:c>
      <x:c r="K163" s="95" t="str">
        <x:v>/why-is-my-blender-leaking/</x:v>
      </x:c>
      <x:c r="L163" s="95" t="str">
        <x:v>Low/Medium — contextual product links only</x:v>
      </x:c>
      <x:c r="M163" s="95" t="str">
        <x:v>Article + BreadcrumbList</x:v>
      </x:c>
      <x:c r="N163" s="95" t="str">
        <x:v>1,200–2,200</x:v>
      </x:c>
      <x:c r="O163" s="95" t="str">
        <x:v>Primary-source/manual references where useful; calculations/examples; original explanation; safety caveats; no generic rewritten filler.</x:v>
      </x:c>
      <x:c r="P163" s="101" t="str">
        <x:v>Not Started</x:v>
      </x:c>
    </x:row>
    <x:row r="164">
      <x:c r="A164" s="100" t="n">
        <x:v>163</x:v>
      </x:c>
      <x:c r="B164" s="95" t="str">
        <x:v>BL-G09</x:v>
      </x:c>
      <x:c r="C164" s="95" t="str">
        <x:v>P3</x:v>
      </x:c>
      <x:c r="D164" s="95" t="str">
        <x:v>Blenders</x:v>
      </x:c>
      <x:c r="E164" s="95" t="str">
        <x:v>Informational</x:v>
      </x:c>
      <x:c r="F164" s="95" t="str">
        <x:v>BL-HUB</x:v>
      </x:c>
      <x:c r="G164" s="95" t="str">
        <x:v>how long do blenders last</x:v>
      </x:c>
      <x:c r="H164" s="95" t="str">
        <x:v>Informational</x:v>
      </x:c>
      <x:c r="I164" s="95" t="str">
        <x:v>TOFU/MOFU</x:v>
      </x:c>
      <x:c r="J164" s="95" t="str">
        <x:v>How Long Do Blenders Last?</x:v>
      </x:c>
      <x:c r="K164" s="95" t="str">
        <x:v>/how-long-do-blenders-last/</x:v>
      </x:c>
      <x:c r="L164" s="95" t="str">
        <x:v>Low/Medium — contextual product links only</x:v>
      </x:c>
      <x:c r="M164" s="95" t="str">
        <x:v>Article + BreadcrumbList</x:v>
      </x:c>
      <x:c r="N164" s="95" t="str">
        <x:v>1,200–2,200</x:v>
      </x:c>
      <x:c r="O164" s="95" t="str">
        <x:v>Primary-source/manual references where useful; calculations/examples; original explanation; safety caveats; no generic rewritten filler.</x:v>
      </x:c>
      <x:c r="P164" s="101" t="str">
        <x:v>Not Started</x:v>
      </x:c>
    </x:row>
    <x:row r="165">
      <x:c r="A165" s="100" t="n">
        <x:v>164</x:v>
      </x:c>
      <x:c r="B165" s="95" t="str">
        <x:v>BL-G10</x:v>
      </x:c>
      <x:c r="C165" s="95" t="str">
        <x:v>P3</x:v>
      </x:c>
      <x:c r="D165" s="95" t="str">
        <x:v>Blenders</x:v>
      </x:c>
      <x:c r="E165" s="95" t="str">
        <x:v>Informational</x:v>
      </x:c>
      <x:c r="F165" s="95" t="str">
        <x:v>BL-HUB</x:v>
      </x:c>
      <x:c r="G165" s="95" t="str">
        <x:v>is a high powered blender worth it</x:v>
      </x:c>
      <x:c r="H165" s="95" t="str">
        <x:v>Informational</x:v>
      </x:c>
      <x:c r="I165" s="95" t="str">
        <x:v>TOFU/MOFU</x:v>
      </x:c>
      <x:c r="J165" s="95" t="str">
        <x:v>Is a High-Powered Blender Worth It?</x:v>
      </x:c>
      <x:c r="K165" s="95" t="str">
        <x:v>/is-a-high-powered-blender-worth-it/</x:v>
      </x:c>
      <x:c r="L165" s="95" t="str">
        <x:v>Low/Medium — contextual product links only</x:v>
      </x:c>
      <x:c r="M165" s="95" t="str">
        <x:v>Article + BreadcrumbList</x:v>
      </x:c>
      <x:c r="N165" s="95" t="str">
        <x:v>1,200–2,200</x:v>
      </x:c>
      <x:c r="O165" s="95" t="str">
        <x:v>Primary-source/manual references where useful; calculations/examples; original explanation; safety caveats; no generic rewritten filler.</x:v>
      </x:c>
      <x:c r="P165" s="101" t="str">
        <x:v>Not Started</x:v>
      </x:c>
    </x:row>
    <x:row r="166">
      <x:c r="A166" s="100" t="n">
        <x:v>165</x:v>
      </x:c>
      <x:c r="B166" s="95" t="str">
        <x:v>CG-G02</x:v>
      </x:c>
      <x:c r="C166" s="95" t="str">
        <x:v>P3</x:v>
      </x:c>
      <x:c r="D166" s="95" t="str">
        <x:v>Coffee Grinders</x:v>
      </x:c>
      <x:c r="E166" s="95" t="str">
        <x:v>Informational</x:v>
      </x:c>
      <x:c r="F166" s="95" t="str">
        <x:v>CG-HUB</x:v>
      </x:c>
      <x:c r="G166" s="95" t="str">
        <x:v>coffee grind size chart</x:v>
      </x:c>
      <x:c r="H166" s="95" t="str">
        <x:v>Informational</x:v>
      </x:c>
      <x:c r="I166" s="95" t="str">
        <x:v>TOFU/MOFU</x:v>
      </x:c>
      <x:c r="J166" s="95" t="str">
        <x:v>Coffee Grind Size Chart</x:v>
      </x:c>
      <x:c r="K166" s="95" t="str">
        <x:v>/coffee-grind-size-chart/</x:v>
      </x:c>
      <x:c r="L166" s="95" t="str">
        <x:v>Low/Medium — contextual product links only</x:v>
      </x:c>
      <x:c r="M166" s="95" t="str">
        <x:v>Article + BreadcrumbList</x:v>
      </x:c>
      <x:c r="N166" s="95" t="str">
        <x:v>1,200–2,200</x:v>
      </x:c>
      <x:c r="O166" s="95" t="str">
        <x:v>Primary-source/manual references where useful; calculations/examples; original explanation; safety caveats; no generic rewritten filler.</x:v>
      </x:c>
      <x:c r="P166" s="101" t="str">
        <x:v>Not Started</x:v>
      </x:c>
    </x:row>
    <x:row r="167">
      <x:c r="A167" s="100" t="n">
        <x:v>166</x:v>
      </x:c>
      <x:c r="B167" s="95" t="str">
        <x:v>CC-G09</x:v>
      </x:c>
      <x:c r="C167" s="95" t="str">
        <x:v>P3</x:v>
      </x:c>
      <x:c r="D167" s="95" t="str">
        <x:v>Cross-Category</x:v>
      </x:c>
      <x:c r="E167" s="95" t="str">
        <x:v>Informational</x:v>
      </x:c>
      <x:c r="F167" s="95" t="str"/>
      <x:c r="G167" s="95" t="str">
        <x:v>when to replace kitchen appliances</x:v>
      </x:c>
      <x:c r="H167" s="95" t="str">
        <x:v>Informational</x:v>
      </x:c>
      <x:c r="I167" s="95" t="str">
        <x:v>TOFU/MOFU</x:v>
      </x:c>
      <x:c r="J167" s="95" t="str">
        <x:v>When Should You Replace a Small Kitchen Appliance?</x:v>
      </x:c>
      <x:c r="K167" s="95" t="str">
        <x:v>/when-to-replace-small-kitchen-appliances/</x:v>
      </x:c>
      <x:c r="L167" s="95" t="str">
        <x:v>Low/Medium — contextual product links only</x:v>
      </x:c>
      <x:c r="M167" s="95" t="str">
        <x:v>Article + BreadcrumbList</x:v>
      </x:c>
      <x:c r="N167" s="95" t="str">
        <x:v>1,200–2,200</x:v>
      </x:c>
      <x:c r="O167" s="95" t="str">
        <x:v>Primary-source/manual references where useful; calculations/examples; original explanation; safety caveats; no generic rewritten filler.</x:v>
      </x:c>
      <x:c r="P167" s="101" t="str">
        <x:v>Not Started</x:v>
      </x:c>
    </x:row>
    <x:row r="168">
      <x:c r="A168" s="100" t="n">
        <x:v>167</x:v>
      </x:c>
      <x:c r="B168" s="95" t="str">
        <x:v>EK-G02</x:v>
      </x:c>
      <x:c r="C168" s="95" t="str">
        <x:v>P3</x:v>
      </x:c>
      <x:c r="D168" s="95" t="str">
        <x:v>Electric Kettles</x:v>
      </x:c>
      <x:c r="E168" s="95" t="str">
        <x:v>Informational</x:v>
      </x:c>
      <x:c r="F168" s="95" t="str">
        <x:v>EK-HUB</x:v>
      </x:c>
      <x:c r="G168" s="95" t="str">
        <x:v>tea water temperature guide</x:v>
      </x:c>
      <x:c r="H168" s="95" t="str">
        <x:v>Informational</x:v>
      </x:c>
      <x:c r="I168" s="95" t="str">
        <x:v>TOFU/MOFU</x:v>
      </x:c>
      <x:c r="J168" s="95" t="str">
        <x:v>What Temperature Should Tea Water Be?</x:v>
      </x:c>
      <x:c r="K168" s="95" t="str">
        <x:v>/tea-water-temperature-guide/</x:v>
      </x:c>
      <x:c r="L168" s="95" t="str">
        <x:v>Low/Medium — contextual product links only</x:v>
      </x:c>
      <x:c r="M168" s="95" t="str">
        <x:v>Article + BreadcrumbList</x:v>
      </x:c>
      <x:c r="N168" s="95" t="str">
        <x:v>1,200–2,200</x:v>
      </x:c>
      <x:c r="O168" s="95" t="str">
        <x:v>Primary-source/manual references where useful; calculations/examples; original explanation; safety caveats; no generic rewritten filler.</x:v>
      </x:c>
      <x:c r="P168" s="101" t="str">
        <x:v>Not Started</x:v>
      </x:c>
    </x:row>
    <x:row r="169">
      <x:c r="A169" s="100" t="n">
        <x:v>168</x:v>
      </x:c>
      <x:c r="B169" s="95" t="str">
        <x:v>EK-G04</x:v>
      </x:c>
      <x:c r="C169" s="95" t="str">
        <x:v>P3</x:v>
      </x:c>
      <x:c r="D169" s="95" t="str">
        <x:v>Electric Kettles</x:v>
      </x:c>
      <x:c r="E169" s="95" t="str">
        <x:v>Informational</x:v>
      </x:c>
      <x:c r="F169" s="95" t="str">
        <x:v>EK-HUB</x:v>
      </x:c>
      <x:c r="G169" s="95" t="str">
        <x:v>electric kettle wattage</x:v>
      </x:c>
      <x:c r="H169" s="95" t="str">
        <x:v>Informational</x:v>
      </x:c>
      <x:c r="I169" s="95" t="str">
        <x:v>TOFU/MOFU</x:v>
      </x:c>
      <x:c r="J169" s="95" t="str">
        <x:v>How Many Watts Does an Electric Kettle Use?</x:v>
      </x:c>
      <x:c r="K169" s="95" t="str">
        <x:v>/electric-kettle-wattage/</x:v>
      </x:c>
      <x:c r="L169" s="95" t="str">
        <x:v>Low/Medium — contextual product links only</x:v>
      </x:c>
      <x:c r="M169" s="95" t="str">
        <x:v>Article + BreadcrumbList</x:v>
      </x:c>
      <x:c r="N169" s="95" t="str">
        <x:v>1,200–2,200</x:v>
      </x:c>
      <x:c r="O169" s="95" t="str">
        <x:v>Primary-source/manual references where useful; calculations/examples; original explanation; safety caveats; no generic rewritten filler.</x:v>
      </x:c>
      <x:c r="P169" s="101" t="str">
        <x:v>Not Started</x:v>
      </x:c>
    </x:row>
    <x:row r="170">
      <x:c r="A170" s="100" t="n">
        <x:v>169</x:v>
      </x:c>
      <x:c r="B170" s="95" t="str">
        <x:v>EK-G05</x:v>
      </x:c>
      <x:c r="C170" s="95" t="str">
        <x:v>P3</x:v>
      </x:c>
      <x:c r="D170" s="95" t="str">
        <x:v>Electric Kettles</x:v>
      </x:c>
      <x:c r="E170" s="95" t="str">
        <x:v>Informational</x:v>
      </x:c>
      <x:c r="F170" s="95" t="str">
        <x:v>EK-HUB</x:v>
      </x:c>
      <x:c r="G170" s="95" t="str">
        <x:v>are glass electric kettles safe</x:v>
      </x:c>
      <x:c r="H170" s="95" t="str">
        <x:v>Informational</x:v>
      </x:c>
      <x:c r="I170" s="95" t="str">
        <x:v>TOFU/MOFU</x:v>
      </x:c>
      <x:c r="J170" s="95" t="str">
        <x:v>Are Glass Electric Kettles Safe?</x:v>
      </x:c>
      <x:c r="K170" s="95" t="str">
        <x:v>/are-glass-electric-kettles-safe/</x:v>
      </x:c>
      <x:c r="L170" s="95" t="str">
        <x:v>Low/Medium — contextual product links only</x:v>
      </x:c>
      <x:c r="M170" s="95" t="str">
        <x:v>Article + BreadcrumbList</x:v>
      </x:c>
      <x:c r="N170" s="95" t="str">
        <x:v>1,200–2,200</x:v>
      </x:c>
      <x:c r="O170" s="95" t="str">
        <x:v>Primary-source/manual references where useful; calculations/examples; original explanation; safety caveats; no generic rewritten filler.</x:v>
      </x:c>
      <x:c r="P170" s="101" t="str">
        <x:v>Not Started</x:v>
      </x:c>
    </x:row>
    <x:row r="171">
      <x:c r="A171" s="100" t="n">
        <x:v>170</x:v>
      </x:c>
      <x:c r="B171" s="95" t="str">
        <x:v>EK-G06</x:v>
      </x:c>
      <x:c r="C171" s="95" t="str">
        <x:v>P3</x:v>
      </x:c>
      <x:c r="D171" s="95" t="str">
        <x:v>Electric Kettles</x:v>
      </x:c>
      <x:c r="E171" s="95" t="str">
        <x:v>Informational</x:v>
      </x:c>
      <x:c r="F171" s="95" t="str">
        <x:v>EK-HUB</x:v>
      </x:c>
      <x:c r="G171" s="95" t="str">
        <x:v>how long do electric kettles last</x:v>
      </x:c>
      <x:c r="H171" s="95" t="str">
        <x:v>Informational</x:v>
      </x:c>
      <x:c r="I171" s="95" t="str">
        <x:v>TOFU/MOFU</x:v>
      </x:c>
      <x:c r="J171" s="95" t="str">
        <x:v>How Long Do Electric Kettles Last?</x:v>
      </x:c>
      <x:c r="K171" s="95" t="str">
        <x:v>/how-long-do-electric-kettles-last/</x:v>
      </x:c>
      <x:c r="L171" s="95" t="str">
        <x:v>Low/Medium — contextual product links only</x:v>
      </x:c>
      <x:c r="M171" s="95" t="str">
        <x:v>Article + BreadcrumbList</x:v>
      </x:c>
      <x:c r="N171" s="95" t="str">
        <x:v>1,200–2,200</x:v>
      </x:c>
      <x:c r="O171" s="95" t="str">
        <x:v>Primary-source/manual references where useful; calculations/examples; original explanation; safety caveats; no generic rewritten filler.</x:v>
      </x:c>
      <x:c r="P171" s="101" t="str">
        <x:v>Not Started</x:v>
      </x:c>
    </x:row>
    <x:row r="172">
      <x:c r="A172" s="100" t="n">
        <x:v>171</x:v>
      </x:c>
      <x:c r="B172" s="95" t="str">
        <x:v>EK-G07</x:v>
      </x:c>
      <x:c r="C172" s="95" t="str">
        <x:v>P3</x:v>
      </x:c>
      <x:c r="D172" s="95" t="str">
        <x:v>Electric Kettles</x:v>
      </x:c>
      <x:c r="E172" s="95" t="str">
        <x:v>Informational</x:v>
      </x:c>
      <x:c r="F172" s="95" t="str">
        <x:v>EK-HUB</x:v>
      </x:c>
      <x:c r="G172" s="95" t="str">
        <x:v>do electric kettles turn off automatically</x:v>
      </x:c>
      <x:c r="H172" s="95" t="str">
        <x:v>Informational</x:v>
      </x:c>
      <x:c r="I172" s="95" t="str">
        <x:v>TOFU/MOFU</x:v>
      </x:c>
      <x:c r="J172" s="95" t="str">
        <x:v>Do Electric Kettles Turn Off Automatically?</x:v>
      </x:c>
      <x:c r="K172" s="95" t="str">
        <x:v>/do-electric-kettles-turn-off-automatically/</x:v>
      </x:c>
      <x:c r="L172" s="95" t="str">
        <x:v>Low/Medium — contextual product links only</x:v>
      </x:c>
      <x:c r="M172" s="95" t="str">
        <x:v>Article + BreadcrumbList</x:v>
      </x:c>
      <x:c r="N172" s="95" t="str">
        <x:v>1,200–2,200</x:v>
      </x:c>
      <x:c r="O172" s="95" t="str">
        <x:v>Primary-source/manual references where useful; calculations/examples; original explanation; safety caveats; no generic rewritten filler.</x:v>
      </x:c>
      <x:c r="P172" s="101" t="str">
        <x:v>Not Started</x:v>
      </x:c>
    </x:row>
    <x:row r="173">
      <x:c r="A173" s="100" t="n">
        <x:v>172</x:v>
      </x:c>
      <x:c r="B173" s="95" t="str">
        <x:v>FP-G02</x:v>
      </x:c>
      <x:c r="C173" s="95" t="str">
        <x:v>P3</x:v>
      </x:c>
      <x:c r="D173" s="95" t="str">
        <x:v>Food Processors</x:v>
      </x:c>
      <x:c r="E173" s="95" t="str">
        <x:v>Informational</x:v>
      </x:c>
      <x:c r="F173" s="95" t="str">
        <x:v>FP-HUB</x:v>
      </x:c>
      <x:c r="G173" s="95" t="str">
        <x:v>what size food processor do i need</x:v>
      </x:c>
      <x:c r="H173" s="95" t="str">
        <x:v>Informational</x:v>
      </x:c>
      <x:c r="I173" s="95" t="str">
        <x:v>TOFU/MOFU</x:v>
      </x:c>
      <x:c r="J173" s="95" t="str">
        <x:v>What Size Food Processor Do I Need?</x:v>
      </x:c>
      <x:c r="K173" s="95" t="str">
        <x:v>/what-size-food-processor-do-i-need/</x:v>
      </x:c>
      <x:c r="L173" s="95" t="str">
        <x:v>Low/Medium — contextual product links only</x:v>
      </x:c>
      <x:c r="M173" s="95" t="str">
        <x:v>Article + BreadcrumbList</x:v>
      </x:c>
      <x:c r="N173" s="95" t="str">
        <x:v>1,200–2,200</x:v>
      </x:c>
      <x:c r="O173" s="95" t="str">
        <x:v>Primary-source/manual references where useful; calculations/examples; original explanation; safety caveats; no generic rewritten filler.</x:v>
      </x:c>
      <x:c r="P173" s="101" t="str">
        <x:v>Not Started</x:v>
      </x:c>
    </x:row>
    <x:row r="174">
      <x:c r="A174" s="100" t="n">
        <x:v>173</x:v>
      </x:c>
      <x:c r="B174" s="95" t="str">
        <x:v>FP-G05</x:v>
      </x:c>
      <x:c r="C174" s="95" t="str">
        <x:v>P3</x:v>
      </x:c>
      <x:c r="D174" s="95" t="str">
        <x:v>Food Processors</x:v>
      </x:c>
      <x:c r="E174" s="95" t="str">
        <x:v>Informational</x:v>
      </x:c>
      <x:c r="F174" s="95" t="str">
        <x:v>FP-HUB</x:v>
      </x:c>
      <x:c r="G174" s="95" t="str">
        <x:v>can a food processor knead dough</x:v>
      </x:c>
      <x:c r="H174" s="95" t="str">
        <x:v>Informational</x:v>
      </x:c>
      <x:c r="I174" s="95" t="str">
        <x:v>TOFU/MOFU</x:v>
      </x:c>
      <x:c r="J174" s="95" t="str">
        <x:v>Can a Food Processor Knead Dough?</x:v>
      </x:c>
      <x:c r="K174" s="95" t="str">
        <x:v>/can-a-food-processor-knead-dough/</x:v>
      </x:c>
      <x:c r="L174" s="95" t="str">
        <x:v>Low/Medium — contextual product links only</x:v>
      </x:c>
      <x:c r="M174" s="95" t="str">
        <x:v>Article + BreadcrumbList</x:v>
      </x:c>
      <x:c r="N174" s="95" t="str">
        <x:v>1,200–2,200</x:v>
      </x:c>
      <x:c r="O174" s="95" t="str">
        <x:v>Primary-source/manual references where useful; calculations/examples; original explanation; safety caveats; no generic rewritten filler.</x:v>
      </x:c>
      <x:c r="P174" s="101" t="str">
        <x:v>Not Started</x:v>
      </x:c>
    </x:row>
    <x:row r="175">
      <x:c r="A175" s="100" t="n">
        <x:v>174</x:v>
      </x:c>
      <x:c r="B175" s="95" t="str">
        <x:v>RC-G02</x:v>
      </x:c>
      <x:c r="C175" s="95" t="str">
        <x:v>P3</x:v>
      </x:c>
      <x:c r="D175" s="95" t="str">
        <x:v>Rice Cookers</x:v>
      </x:c>
      <x:c r="E175" s="95" t="str">
        <x:v>Informational</x:v>
      </x:c>
      <x:c r="F175" s="95" t="str">
        <x:v>RC-HUB</x:v>
      </x:c>
      <x:c r="G175" s="95" t="str">
        <x:v>what size rice cooker do i need</x:v>
      </x:c>
      <x:c r="H175" s="95" t="str">
        <x:v>Informational</x:v>
      </x:c>
      <x:c r="I175" s="95" t="str">
        <x:v>TOFU/MOFU</x:v>
      </x:c>
      <x:c r="J175" s="95" t="str">
        <x:v>What Size Rice Cooker Do I Need?</x:v>
      </x:c>
      <x:c r="K175" s="95" t="str">
        <x:v>/what-size-rice-cooker-do-i-need/</x:v>
      </x:c>
      <x:c r="L175" s="95" t="str">
        <x:v>Low/Medium — contextual product links only</x:v>
      </x:c>
      <x:c r="M175" s="95" t="str">
        <x:v>Article + BreadcrumbList</x:v>
      </x:c>
      <x:c r="N175" s="95" t="str">
        <x:v>1,200–2,200</x:v>
      </x:c>
      <x:c r="O175" s="95" t="str">
        <x:v>Primary-source/manual references where useful; calculations/examples; original explanation; safety caveats; no generic rewritten filler.</x:v>
      </x:c>
      <x:c r="P175" s="101" t="str">
        <x:v>Not Started</x:v>
      </x:c>
    </x:row>
    <x:row r="176">
      <x:c r="A176" s="100" t="n">
        <x:v>175</x:v>
      </x:c>
      <x:c r="B176" s="95" t="str">
        <x:v>TO-G02</x:v>
      </x:c>
      <x:c r="C176" s="95" t="str">
        <x:v>P3</x:v>
      </x:c>
      <x:c r="D176" s="95" t="str">
        <x:v>Toaster Ovens</x:v>
      </x:c>
      <x:c r="E176" s="95" t="str">
        <x:v>Informational</x:v>
      </x:c>
      <x:c r="F176" s="95" t="str">
        <x:v>TO-HUB</x:v>
      </x:c>
      <x:c r="G176" s="95" t="str">
        <x:v>what size toaster oven do i need</x:v>
      </x:c>
      <x:c r="H176" s="95" t="str">
        <x:v>Informational</x:v>
      </x:c>
      <x:c r="I176" s="95" t="str">
        <x:v>TOFU/MOFU</x:v>
      </x:c>
      <x:c r="J176" s="95" t="str">
        <x:v>What Size Toaster Oven Do I Need?</x:v>
      </x:c>
      <x:c r="K176" s="95" t="str">
        <x:v>/what-size-toaster-oven-do-i-need/</x:v>
      </x:c>
      <x:c r="L176" s="95" t="str">
        <x:v>Low/Medium — contextual product links only</x:v>
      </x:c>
      <x:c r="M176" s="95" t="str">
        <x:v>Article + BreadcrumbList</x:v>
      </x:c>
      <x:c r="N176" s="95" t="str">
        <x:v>1,200–2,200</x:v>
      </x:c>
      <x:c r="O176" s="95" t="str">
        <x:v>Primary-source/manual references where useful; calculations/examples; original explanation; safety caveats; no generic rewritten filler.</x:v>
      </x:c>
      <x:c r="P176" s="101" t="str">
        <x:v>Not Started</x:v>
      </x:c>
    </x:row>
    <x:row r="177">
      <x:c r="A177" s="100" t="n">
        <x:v>176</x:v>
      </x:c>
      <x:c r="B177" s="95" t="str">
        <x:v>TO-G04</x:v>
      </x:c>
      <x:c r="C177" s="95" t="str">
        <x:v>P3</x:v>
      </x:c>
      <x:c r="D177" s="95" t="str">
        <x:v>Toaster Ovens</x:v>
      </x:c>
      <x:c r="E177" s="95" t="str">
        <x:v>Informational</x:v>
      </x:c>
      <x:c r="F177" s="95" t="str">
        <x:v>TO-HUB</x:v>
      </x:c>
      <x:c r="G177" s="95" t="str">
        <x:v>can you bake in a toaster oven</x:v>
      </x:c>
      <x:c r="H177" s="95" t="str">
        <x:v>Informational</x:v>
      </x:c>
      <x:c r="I177" s="95" t="str">
        <x:v>TOFU/MOFU</x:v>
      </x:c>
      <x:c r="J177" s="95" t="str">
        <x:v>Can You Bake in a Toaster Oven?</x:v>
      </x:c>
      <x:c r="K177" s="95" t="str">
        <x:v>/can-you-bake-in-a-toaster-oven/</x:v>
      </x:c>
      <x:c r="L177" s="95" t="str">
        <x:v>Low/Medium — contextual product links only</x:v>
      </x:c>
      <x:c r="M177" s="95" t="str">
        <x:v>Article + BreadcrumbList</x:v>
      </x:c>
      <x:c r="N177" s="95" t="str">
        <x:v>1,200–2,200</x:v>
      </x:c>
      <x:c r="O177" s="95" t="str">
        <x:v>Primary-source/manual references where useful; calculations/examples; original explanation; safety caveats; no generic rewritten filler.</x:v>
      </x:c>
      <x:c r="P177" s="101" t="str">
        <x:v>Not Started</x:v>
      </x:c>
    </x:row>
    <x:row r="178">
      <x:c r="A178" s="100" t="n">
        <x:v>177</x:v>
      </x:c>
      <x:c r="B178" s="95" t="str">
        <x:v>TO-G05</x:v>
      </x:c>
      <x:c r="C178" s="95" t="str">
        <x:v>P3</x:v>
      </x:c>
      <x:c r="D178" s="95" t="str">
        <x:v>Toaster Ovens</x:v>
      </x:c>
      <x:c r="E178" s="95" t="str">
        <x:v>Informational</x:v>
      </x:c>
      <x:c r="F178" s="95" t="str">
        <x:v>TO-HUB</x:v>
      </x:c>
      <x:c r="G178" s="95" t="str">
        <x:v>toaster oven power consumption</x:v>
      </x:c>
      <x:c r="H178" s="95" t="str">
        <x:v>Informational</x:v>
      </x:c>
      <x:c r="I178" s="95" t="str">
        <x:v>TOFU/MOFU</x:v>
      </x:c>
      <x:c r="J178" s="95" t="str">
        <x:v>How Much Electricity Does a Toaster Oven Use?</x:v>
      </x:c>
      <x:c r="K178" s="95" t="str">
        <x:v>/toaster-oven-power-consumption/</x:v>
      </x:c>
      <x:c r="L178" s="95" t="str">
        <x:v>Low/Medium — contextual product links only</x:v>
      </x:c>
      <x:c r="M178" s="95" t="str">
        <x:v>Article + BreadcrumbList</x:v>
      </x:c>
      <x:c r="N178" s="95" t="str">
        <x:v>1,200–2,200</x:v>
      </x:c>
      <x:c r="O178" s="95" t="str">
        <x:v>Primary-source/manual references where useful; calculations/examples; original explanation; safety caveats; no generic rewritten filler.</x:v>
      </x:c>
      <x:c r="P178" s="101" t="str">
        <x:v>Not Started</x:v>
      </x:c>
    </x:row>
    <x:row r="179">
      <x:c r="A179" s="100" t="n">
        <x:v>178</x:v>
      </x:c>
      <x:c r="B179" s="95" t="str">
        <x:v>CC-G08</x:v>
      </x:c>
      <x:c r="C179" s="95" t="str">
        <x:v>P3</x:v>
      </x:c>
      <x:c r="D179" s="95" t="str">
        <x:v>Cross-Category</x:v>
      </x:c>
      <x:c r="E179" s="95" t="str">
        <x:v>How-To</x:v>
      </x:c>
      <x:c r="F179" s="95" t="str"/>
      <x:c r="G179" s="95" t="str">
        <x:v>how to clean grease from kitchen appliances</x:v>
      </x:c>
      <x:c r="H179" s="95" t="str">
        <x:v>Informational</x:v>
      </x:c>
      <x:c r="I179" s="95" t="str">
        <x:v>TOFU/MOFU</x:v>
      </x:c>
      <x:c r="J179" s="95" t="str">
        <x:v>How to Clean Grease from Countertop Appliances</x:v>
      </x:c>
      <x:c r="K179" s="95" t="str">
        <x:v>/clean-grease-countertop-appliances/</x:v>
      </x:c>
      <x:c r="L179" s="95" t="str">
        <x:v>Low/Medium — contextual product links only</x:v>
      </x:c>
      <x:c r="M179" s="95" t="str">
        <x:v>HowTo only when steps are visible and eligible; otherwise Article + BreadcrumbList</x:v>
      </x:c>
      <x:c r="N179" s="95" t="str">
        <x:v>1,200–2,000</x:v>
      </x:c>
      <x:c r="O179" s="95" t="str">
        <x:v>Primary-source/manual references where useful; calculations/examples; original explanation; safety caveats; no generic rewritten filler.</x:v>
      </x:c>
      <x:c r="P179" s="101" t="str">
        <x:v>Not Started</x:v>
      </x:c>
    </x:row>
    <x:row r="180">
      <x:c r="A180" s="100" t="n">
        <x:v>179</x:v>
      </x:c>
      <x:c r="B180" s="95" t="str">
        <x:v>FP-G03</x:v>
      </x:c>
      <x:c r="C180" s="95" t="str">
        <x:v>P3</x:v>
      </x:c>
      <x:c r="D180" s="95" t="str">
        <x:v>Food Processors</x:v>
      </x:c>
      <x:c r="E180" s="95" t="str">
        <x:v>How-To</x:v>
      </x:c>
      <x:c r="F180" s="95" t="str">
        <x:v>FP-HUB</x:v>
      </x:c>
      <x:c r="G180" s="95" t="str">
        <x:v>how to use a food processor</x:v>
      </x:c>
      <x:c r="H180" s="95" t="str">
        <x:v>Informational</x:v>
      </x:c>
      <x:c r="I180" s="95" t="str">
        <x:v>TOFU/MOFU</x:v>
      </x:c>
      <x:c r="J180" s="95" t="str">
        <x:v>How to Use a Food Processor</x:v>
      </x:c>
      <x:c r="K180" s="95" t="str">
        <x:v>/how-to-use-a-food-processor/</x:v>
      </x:c>
      <x:c r="L180" s="95" t="str">
        <x:v>Low/Medium — contextual product links only</x:v>
      </x:c>
      <x:c r="M180" s="95" t="str">
        <x:v>HowTo only when steps are visible and eligible; otherwise Article + BreadcrumbList</x:v>
      </x:c>
      <x:c r="N180" s="95" t="str">
        <x:v>1,200–2,000</x:v>
      </x:c>
      <x:c r="O180" s="95" t="str">
        <x:v>Primary-source/manual references where useful; calculations/examples; original explanation; safety caveats; no generic rewritten filler.</x:v>
      </x:c>
      <x:c r="P180" s="101" t="str">
        <x:v>Not Started</x:v>
      </x:c>
    </x:row>
    <x:row r="181">
      <x:c r="A181" s="100" t="n">
        <x:v>180</x:v>
      </x:c>
      <x:c r="B181" s="95" t="str">
        <x:v>TO-G03</x:v>
      </x:c>
      <x:c r="C181" s="95" t="str">
        <x:v>P3</x:v>
      </x:c>
      <x:c r="D181" s="95" t="str">
        <x:v>Toaster Ovens</x:v>
      </x:c>
      <x:c r="E181" s="95" t="str">
        <x:v>How-To</x:v>
      </x:c>
      <x:c r="F181" s="95" t="str">
        <x:v>TO-HUB</x:v>
      </x:c>
      <x:c r="G181" s="95" t="str">
        <x:v>how to clean a toaster oven</x:v>
      </x:c>
      <x:c r="H181" s="95" t="str">
        <x:v>Informational</x:v>
      </x:c>
      <x:c r="I181" s="95" t="str">
        <x:v>TOFU/MOFU</x:v>
      </x:c>
      <x:c r="J181" s="95" t="str">
        <x:v>How to Clean a Toaster Oven</x:v>
      </x:c>
      <x:c r="K181" s="95" t="str">
        <x:v>/how-to-clean-a-toaster-oven/</x:v>
      </x:c>
      <x:c r="L181" s="95" t="str">
        <x:v>Low/Medium — contextual product links only</x:v>
      </x:c>
      <x:c r="M181" s="95" t="str">
        <x:v>HowTo only when steps are visible and eligible; otherwise Article + BreadcrumbList</x:v>
      </x:c>
      <x:c r="N181" s="95" t="str">
        <x:v>1,200–2,000</x:v>
      </x:c>
      <x:c r="O181" s="95" t="str">
        <x:v>Primary-source/manual references where useful; calculations/examples; original explanation; safety caveats; no generic rewritten filler.</x:v>
      </x:c>
      <x:c r="P181" s="101" t="str">
        <x:v>Not Started</x:v>
      </x:c>
    </x:row>
    <x:row r="182">
      <x:c r="A182" s="100" t="n">
        <x:v>181</x:v>
      </x:c>
      <x:c r="B182" s="95" t="str">
        <x:v>WM-HUB</x:v>
      </x:c>
      <x:c r="C182" s="95" t="str">
        <x:v>P4</x:v>
      </x:c>
      <x:c r="D182" s="95" t="str">
        <x:v>Waffle Makers</x:v>
      </x:c>
      <x:c r="E182" s="95" t="str">
        <x:v>Category Hub</x:v>
      </x:c>
      <x:c r="F182" s="95" t="str"/>
      <x:c r="G182" s="95" t="str">
        <x:v>waffle maker reviews and buying guides</x:v>
      </x:c>
      <x:c r="H182" s="95" t="str">
        <x:v>Mixed</x:v>
      </x:c>
      <x:c r="I182" s="95" t="str">
        <x:v>MOFU</x:v>
      </x:c>
      <x:c r="J182" s="95" t="str">
        <x:v>Waffle Maker Reviews, Comparisons and Buying Guides</x:v>
      </x:c>
      <x:c r="K182" s="95" t="str">
        <x:v>/waffle-makers/</x:v>
      </x:c>
      <x:c r="L182" s="95" t="str">
        <x:v>Indirect — distribute users to money pages</x:v>
      </x:c>
      <x:c r="M182" s="95" t="str">
        <x:v>CollectionPage + ItemList + BreadcrumbList</x:v>
      </x:c>
      <x:c r="N182" s="95" t="str">
        <x:v>1,500–2,200</x:v>
      </x:c>
      <x:c r="O182" s="95" t="str">
        <x:v>Original editorial context, source validation and clear author accountability.</x:v>
      </x:c>
      <x:c r="P182" s="101" t="str">
        <x:v>Not Started</x:v>
      </x:c>
    </x:row>
    <x:row r="183">
      <x:c r="A183" s="100" t="n">
        <x:v>182</x:v>
      </x:c>
      <x:c r="B183" s="95" t="str">
        <x:v>WM-PIL</x:v>
      </x:c>
      <x:c r="C183" s="95" t="str">
        <x:v>P4</x:v>
      </x:c>
      <x:c r="D183" s="95" t="str">
        <x:v>Waffle Makers</x:v>
      </x:c>
      <x:c r="E183" s="95" t="str">
        <x:v>Commercial Pillar</x:v>
      </x:c>
      <x:c r="F183" s="95" t="str">
        <x:v>WM-HUB</x:v>
      </x:c>
      <x:c r="G183" s="95" t="str">
        <x:v>best waffle makers</x:v>
      </x:c>
      <x:c r="H183" s="95" t="str">
        <x:v>Commercial Investigation</x:v>
      </x:c>
      <x:c r="I183" s="95" t="str">
        <x:v>BOFU</x:v>
      </x:c>
      <x:c r="J183" s="95" t="str">
        <x:v>Best Waffle Makers for Belgian and Classic Waffles</x:v>
      </x:c>
      <x:c r="K183" s="95" t="str">
        <x:v>/best-waffle-makers/</x:v>
      </x:c>
      <x:c r="L183" s="95" t="str">
        <x:v>High — product table + contextual CTAs</x:v>
      </x:c>
      <x:c r="M183" s="95" t="str">
        <x:v>Article + ItemList + BreadcrumbList</x:v>
      </x:c>
      <x:c r="N183" s="95" t="str">
        <x:v>3,000–4,500</x:v>
      </x:c>
      <x:c r="O183" s="95" t="str">
        <x:v>Original selection methodology; spec verification; decision criteria; custom comparison table; explain exclusions; ideally hands-on notes or documented research.</x:v>
      </x:c>
      <x:c r="P183" s="101" t="str">
        <x:v>Not Started</x:v>
      </x:c>
    </x:row>
    <x:row r="184">
      <x:c r="A184" s="100" t="n">
        <x:v>183</x:v>
      </x:c>
      <x:c r="B184" s="95" t="str">
        <x:v>CG-R04</x:v>
      </x:c>
      <x:c r="C184" s="95" t="str">
        <x:v>P4</x:v>
      </x:c>
      <x:c r="D184" s="95" t="str">
        <x:v>Coffee Grinders</x:v>
      </x:c>
      <x:c r="E184" s="95" t="str">
        <x:v>Roundup</x:v>
      </x:c>
      <x:c r="F184" s="95" t="str">
        <x:v>CG-PIL</x:v>
      </x:c>
      <x:c r="G184" s="95" t="str">
        <x:v>best coffee grinder for pour over</x:v>
      </x:c>
      <x:c r="H184" s="95" t="str">
        <x:v>Commercial Investigation</x:v>
      </x:c>
      <x:c r="I184" s="95" t="str">
        <x:v>BOFU</x:v>
      </x:c>
      <x:c r="J184" s="95" t="str">
        <x:v>Best Coffee Grinders for Pour-Over</x:v>
      </x:c>
      <x:c r="K184" s="95" t="str">
        <x:v>/best-coffee-grinder-for-pour-over/</x:v>
      </x:c>
      <x:c r="L184" s="95" t="str">
        <x:v>High — product table + contextual CTAs</x:v>
      </x:c>
      <x:c r="M184" s="95" t="str">
        <x:v>Article + ItemList + BreadcrumbList</x:v>
      </x:c>
      <x:c r="N184" s="95" t="str">
        <x:v>2,500–4,000</x:v>
      </x:c>
      <x:c r="O184" s="95" t="str">
        <x:v>Original selection methodology; spec verification; decision criteria; custom comparison table; explain exclusions; ideally hands-on notes or documented research.</x:v>
      </x:c>
      <x:c r="P184" s="101" t="str">
        <x:v>Not Started</x:v>
      </x:c>
    </x:row>
    <x:row r="185">
      <x:c r="A185" s="100" t="n">
        <x:v>184</x:v>
      </x:c>
      <x:c r="B185" s="95" t="str">
        <x:v>CG-R05</x:v>
      </x:c>
      <x:c r="C185" s="95" t="str">
        <x:v>P4</x:v>
      </x:c>
      <x:c r="D185" s="95" t="str">
        <x:v>Coffee Grinders</x:v>
      </x:c>
      <x:c r="E185" s="95" t="str">
        <x:v>Roundup</x:v>
      </x:c>
      <x:c r="F185" s="95" t="str">
        <x:v>CG-PIL</x:v>
      </x:c>
      <x:c r="G185" s="95" t="str">
        <x:v>best coffee grinder for french press</x:v>
      </x:c>
      <x:c r="H185" s="95" t="str">
        <x:v>Commercial Investigation</x:v>
      </x:c>
      <x:c r="I185" s="95" t="str">
        <x:v>BOFU</x:v>
      </x:c>
      <x:c r="J185" s="95" t="str">
        <x:v>Best Coffee Grinders for French Press</x:v>
      </x:c>
      <x:c r="K185" s="95" t="str">
        <x:v>/best-coffee-grinder-for-french-press/</x:v>
      </x:c>
      <x:c r="L185" s="95" t="str">
        <x:v>High — product table + contextual CTAs</x:v>
      </x:c>
      <x:c r="M185" s="95" t="str">
        <x:v>Article + ItemList + BreadcrumbList</x:v>
      </x:c>
      <x:c r="N185" s="95" t="str">
        <x:v>2,500–4,000</x:v>
      </x:c>
      <x:c r="O185" s="95" t="str">
        <x:v>Original selection methodology; spec verification; decision criteria; custom comparison table; explain exclusions; ideally hands-on notes or documented research.</x:v>
      </x:c>
      <x:c r="P185" s="101" t="str">
        <x:v>Not Started</x:v>
      </x:c>
    </x:row>
    <x:row r="186">
      <x:c r="A186" s="100" t="n">
        <x:v>185</x:v>
      </x:c>
      <x:c r="B186" s="95" t="str">
        <x:v>CG-R06</x:v>
      </x:c>
      <x:c r="C186" s="95" t="str">
        <x:v>P4</x:v>
      </x:c>
      <x:c r="D186" s="95" t="str">
        <x:v>Coffee Grinders</x:v>
      </x:c>
      <x:c r="E186" s="95" t="str">
        <x:v>Roundup</x:v>
      </x:c>
      <x:c r="F186" s="95" t="str">
        <x:v>CG-PIL</x:v>
      </x:c>
      <x:c r="G186" s="95" t="str">
        <x:v>quietest coffee grinder</x:v>
      </x:c>
      <x:c r="H186" s="95" t="str">
        <x:v>Commercial Investigation</x:v>
      </x:c>
      <x:c r="I186" s="95" t="str">
        <x:v>BOFU</x:v>
      </x:c>
      <x:c r="J186" s="95" t="str">
        <x:v>Best Quiet Coffee Grinders</x:v>
      </x:c>
      <x:c r="K186" s="95" t="str">
        <x:v>/quietest-coffee-grinder/</x:v>
      </x:c>
      <x:c r="L186" s="95" t="str">
        <x:v>High — product table + contextual CTAs</x:v>
      </x:c>
      <x:c r="M186" s="95" t="str">
        <x:v>Article + ItemList + BreadcrumbList</x:v>
      </x:c>
      <x:c r="N186" s="95" t="str">
        <x:v>2,500–4,000</x:v>
      </x:c>
      <x:c r="O186" s="95" t="str">
        <x:v>Original selection methodology; spec verification; decision criteria; custom comparison table; explain exclusions; ideally hands-on notes or documented research.</x:v>
      </x:c>
      <x:c r="P186" s="101" t="str">
        <x:v>Not Started</x:v>
      </x:c>
    </x:row>
    <x:row r="187">
      <x:c r="A187" s="100" t="n">
        <x:v>186</x:v>
      </x:c>
      <x:c r="B187" s="95" t="str">
        <x:v>CG-R07</x:v>
      </x:c>
      <x:c r="C187" s="95" t="str">
        <x:v>P4</x:v>
      </x:c>
      <x:c r="D187" s="95" t="str">
        <x:v>Coffee Grinders</x:v>
      </x:c>
      <x:c r="E187" s="95" t="str">
        <x:v>Roundup</x:v>
      </x:c>
      <x:c r="F187" s="95" t="str">
        <x:v>CG-PIL</x:v>
      </x:c>
      <x:c r="G187" s="95" t="str">
        <x:v>best compact coffee grinder</x:v>
      </x:c>
      <x:c r="H187" s="95" t="str">
        <x:v>Commercial Investigation</x:v>
      </x:c>
      <x:c r="I187" s="95" t="str">
        <x:v>BOFU</x:v>
      </x:c>
      <x:c r="J187" s="95" t="str">
        <x:v>Best Compact Coffee Grinders</x:v>
      </x:c>
      <x:c r="K187" s="95" t="str">
        <x:v>/best-compact-coffee-grinder/</x:v>
      </x:c>
      <x:c r="L187" s="95" t="str">
        <x:v>High — product table + contextual CTAs</x:v>
      </x:c>
      <x:c r="M187" s="95" t="str">
        <x:v>Article + ItemList + BreadcrumbList</x:v>
      </x:c>
      <x:c r="N187" s="95" t="str">
        <x:v>2,500–4,000</x:v>
      </x:c>
      <x:c r="O187" s="95" t="str">
        <x:v>Original selection methodology; spec verification; decision criteria; custom comparison table; explain exclusions; ideally hands-on notes or documented research.</x:v>
      </x:c>
      <x:c r="P187" s="101" t="str">
        <x:v>Not Started</x:v>
      </x:c>
    </x:row>
    <x:row r="188">
      <x:c r="A188" s="100" t="n">
        <x:v>187</x:v>
      </x:c>
      <x:c r="B188" s="95" t="str">
        <x:v>FP-R07</x:v>
      </x:c>
      <x:c r="C188" s="95" t="str">
        <x:v>P4</x:v>
      </x:c>
      <x:c r="D188" s="95" t="str">
        <x:v>Food Processors</x:v>
      </x:c>
      <x:c r="E188" s="95" t="str">
        <x:v>Roundup</x:v>
      </x:c>
      <x:c r="F188" s="95" t="str">
        <x:v>FP-PIL</x:v>
      </x:c>
      <x:c r="G188" s="95" t="str">
        <x:v>best food processor for large family</x:v>
      </x:c>
      <x:c r="H188" s="95" t="str">
        <x:v>Commercial Investigation</x:v>
      </x:c>
      <x:c r="I188" s="95" t="str">
        <x:v>BOFU</x:v>
      </x:c>
      <x:c r="J188" s="95" t="str">
        <x:v>Best Food Processors for Large Families</x:v>
      </x:c>
      <x:c r="K188" s="95" t="str">
        <x:v>/best-food-processor-for-large-family/</x:v>
      </x:c>
      <x:c r="L188" s="95" t="str">
        <x:v>High — product table + contextual CTAs</x:v>
      </x:c>
      <x:c r="M188" s="95" t="str">
        <x:v>Article + ItemList + BreadcrumbList</x:v>
      </x:c>
      <x:c r="N188" s="95" t="str">
        <x:v>2,500–4,000</x:v>
      </x:c>
      <x:c r="O188" s="95" t="str">
        <x:v>Original selection methodology; spec verification; decision criteria; custom comparison table; explain exclusions; ideally hands-on notes or documented research.</x:v>
      </x:c>
      <x:c r="P188" s="101" t="str">
        <x:v>Not Started</x:v>
      </x:c>
    </x:row>
    <x:row r="189">
      <x:c r="A189" s="100" t="n">
        <x:v>188</x:v>
      </x:c>
      <x:c r="B189" s="95" t="str">
        <x:v>FP-R08</x:v>
      </x:c>
      <x:c r="C189" s="95" t="str">
        <x:v>P4</x:v>
      </x:c>
      <x:c r="D189" s="95" t="str">
        <x:v>Food Processors</x:v>
      </x:c>
      <x:c r="E189" s="95" t="str">
        <x:v>Roundup</x:v>
      </x:c>
      <x:c r="F189" s="95" t="str">
        <x:v>FP-PIL</x:v>
      </x:c>
      <x:c r="G189" s="95" t="str">
        <x:v>best easy to clean food processor</x:v>
      </x:c>
      <x:c r="H189" s="95" t="str">
        <x:v>Commercial Investigation</x:v>
      </x:c>
      <x:c r="I189" s="95" t="str">
        <x:v>BOFU</x:v>
      </x:c>
      <x:c r="J189" s="95" t="str">
        <x:v>Best Easy-to-Clean Food Processors</x:v>
      </x:c>
      <x:c r="K189" s="95" t="str">
        <x:v>/best-easy-to-clean-food-processor/</x:v>
      </x:c>
      <x:c r="L189" s="95" t="str">
        <x:v>High — product table + contextual CTAs</x:v>
      </x:c>
      <x:c r="M189" s="95" t="str">
        <x:v>Article + ItemList + BreadcrumbList</x:v>
      </x:c>
      <x:c r="N189" s="95" t="str">
        <x:v>2,500–4,000</x:v>
      </x:c>
      <x:c r="O189" s="95" t="str">
        <x:v>Original selection methodology; spec verification; decision criteria; custom comparison table; explain exclusions; ideally hands-on notes or documented research.</x:v>
      </x:c>
      <x:c r="P189" s="101" t="str">
        <x:v>Not Started</x:v>
      </x:c>
    </x:row>
    <x:row r="190">
      <x:c r="A190" s="100" t="n">
        <x:v>189</x:v>
      </x:c>
      <x:c r="B190" s="95" t="str">
        <x:v>MC-R04</x:v>
      </x:c>
      <x:c r="C190" s="95" t="str">
        <x:v>P4</x:v>
      </x:c>
      <x:c r="D190" s="95" t="str">
        <x:v>Mini Choppers</x:v>
      </x:c>
      <x:c r="E190" s="95" t="str">
        <x:v>Roundup</x:v>
      </x:c>
      <x:c r="F190" s="95" t="str">
        <x:v>MC-PIL</x:v>
      </x:c>
      <x:c r="G190" s="95" t="str">
        <x:v>best mini chopper for garlic</x:v>
      </x:c>
      <x:c r="H190" s="95" t="str">
        <x:v>Commercial Investigation</x:v>
      </x:c>
      <x:c r="I190" s="95" t="str">
        <x:v>BOFU</x:v>
      </x:c>
      <x:c r="J190" s="95" t="str">
        <x:v>Best Mini Choppers for Garlic</x:v>
      </x:c>
      <x:c r="K190" s="95" t="str">
        <x:v>/best-mini-chopper-for-garlic/</x:v>
      </x:c>
      <x:c r="L190" s="95" t="str">
        <x:v>High — product table + contextual CTAs</x:v>
      </x:c>
      <x:c r="M190" s="95" t="str">
        <x:v>Article + ItemList + BreadcrumbList</x:v>
      </x:c>
      <x:c r="N190" s="95" t="str">
        <x:v>2,500–4,000</x:v>
      </x:c>
      <x:c r="O190" s="95" t="str">
        <x:v>Original selection methodology; spec verification; decision criteria; custom comparison table; explain exclusions; ideally hands-on notes or documented research.</x:v>
      </x:c>
      <x:c r="P190" s="101" t="str">
        <x:v>Not Started</x:v>
      </x:c>
    </x:row>
    <x:row r="191">
      <x:c r="A191" s="100" t="n">
        <x:v>190</x:v>
      </x:c>
      <x:c r="B191" s="95" t="str">
        <x:v>MC-R05</x:v>
      </x:c>
      <x:c r="C191" s="95" t="str">
        <x:v>P4</x:v>
      </x:c>
      <x:c r="D191" s="95" t="str">
        <x:v>Mini Choppers</x:v>
      </x:c>
      <x:c r="E191" s="95" t="str">
        <x:v>Roundup</x:v>
      </x:c>
      <x:c r="F191" s="95" t="str">
        <x:v>MC-PIL</x:v>
      </x:c>
      <x:c r="G191" s="95" t="str">
        <x:v>best cordless mini chopper</x:v>
      </x:c>
      <x:c r="H191" s="95" t="str">
        <x:v>Commercial Investigation</x:v>
      </x:c>
      <x:c r="I191" s="95" t="str">
        <x:v>BOFU</x:v>
      </x:c>
      <x:c r="J191" s="95" t="str">
        <x:v>Best Cordless Mini Choppers</x:v>
      </x:c>
      <x:c r="K191" s="95" t="str">
        <x:v>/best-cordless-mini-chopper/</x:v>
      </x:c>
      <x:c r="L191" s="95" t="str">
        <x:v>High — product table + contextual CTAs</x:v>
      </x:c>
      <x:c r="M191" s="95" t="str">
        <x:v>Article + ItemList + BreadcrumbList</x:v>
      </x:c>
      <x:c r="N191" s="95" t="str">
        <x:v>2,500–4,000</x:v>
      </x:c>
      <x:c r="O191" s="95" t="str">
        <x:v>Original selection methodology; spec verification; decision criteria; custom comparison table; explain exclusions; ideally hands-on notes or documented research.</x:v>
      </x:c>
      <x:c r="P191" s="101" t="str">
        <x:v>Not Started</x:v>
      </x:c>
    </x:row>
    <x:row r="192">
      <x:c r="A192" s="100" t="n">
        <x:v>191</x:v>
      </x:c>
      <x:c r="B192" s="95" t="str">
        <x:v>RC-R04</x:v>
      </x:c>
      <x:c r="C192" s="95" t="str">
        <x:v>P4</x:v>
      </x:c>
      <x:c r="D192" s="95" t="str">
        <x:v>Rice Cookers</x:v>
      </x:c>
      <x:c r="E192" s="95" t="str">
        <x:v>Roundup</x:v>
      </x:c>
      <x:c r="F192" s="95" t="str">
        <x:v>RC-PIL</x:v>
      </x:c>
      <x:c r="G192" s="95" t="str">
        <x:v>best rice cooker for sticky rice</x:v>
      </x:c>
      <x:c r="H192" s="95" t="str">
        <x:v>Commercial Investigation</x:v>
      </x:c>
      <x:c r="I192" s="95" t="str">
        <x:v>BOFU</x:v>
      </x:c>
      <x:c r="J192" s="95" t="str">
        <x:v>Best Rice Cookers for Sticky Rice</x:v>
      </x:c>
      <x:c r="K192" s="95" t="str">
        <x:v>/best-rice-cooker-for-sticky-rice/</x:v>
      </x:c>
      <x:c r="L192" s="95" t="str">
        <x:v>High — product table + contextual CTAs</x:v>
      </x:c>
      <x:c r="M192" s="95" t="str">
        <x:v>Article + ItemList + BreadcrumbList</x:v>
      </x:c>
      <x:c r="N192" s="95" t="str">
        <x:v>2,500–4,000</x:v>
      </x:c>
      <x:c r="O192" s="95" t="str">
        <x:v>Original selection methodology; spec verification; decision criteria; custom comparison table; explain exclusions; ideally hands-on notes or documented research.</x:v>
      </x:c>
      <x:c r="P192" s="101" t="str">
        <x:v>Not Started</x:v>
      </x:c>
    </x:row>
    <x:row r="193">
      <x:c r="A193" s="100" t="n">
        <x:v>192</x:v>
      </x:c>
      <x:c r="B193" s="95" t="str">
        <x:v>RC-R05</x:v>
      </x:c>
      <x:c r="C193" s="95" t="str">
        <x:v>P4</x:v>
      </x:c>
      <x:c r="D193" s="95" t="str">
        <x:v>Rice Cookers</x:v>
      </x:c>
      <x:c r="E193" s="95" t="str">
        <x:v>Roundup</x:v>
      </x:c>
      <x:c r="F193" s="95" t="str">
        <x:v>RC-PIL</x:v>
      </x:c>
      <x:c r="G193" s="95" t="str">
        <x:v>best rice cooker for large family</x:v>
      </x:c>
      <x:c r="H193" s="95" t="str">
        <x:v>Commercial Investigation</x:v>
      </x:c>
      <x:c r="I193" s="95" t="str">
        <x:v>BOFU</x:v>
      </x:c>
      <x:c r="J193" s="95" t="str">
        <x:v>Best Rice Cookers for Large Families</x:v>
      </x:c>
      <x:c r="K193" s="95" t="str">
        <x:v>/best-rice-cooker-for-large-family/</x:v>
      </x:c>
      <x:c r="L193" s="95" t="str">
        <x:v>High — product table + contextual CTAs</x:v>
      </x:c>
      <x:c r="M193" s="95" t="str">
        <x:v>Article + ItemList + BreadcrumbList</x:v>
      </x:c>
      <x:c r="N193" s="95" t="str">
        <x:v>2,500–4,000</x:v>
      </x:c>
      <x:c r="O193" s="95" t="str">
        <x:v>Original selection methodology; spec verification; decision criteria; custom comparison table; explain exclusions; ideally hands-on notes or documented research.</x:v>
      </x:c>
      <x:c r="P193" s="101" t="str">
        <x:v>Not Started</x:v>
      </x:c>
    </x:row>
    <x:row r="194">
      <x:c r="A194" s="100" t="n">
        <x:v>193</x:v>
      </x:c>
      <x:c r="B194" s="95" t="str">
        <x:v>RC-R06</x:v>
      </x:c>
      <x:c r="C194" s="95" t="str">
        <x:v>P4</x:v>
      </x:c>
      <x:c r="D194" s="95" t="str">
        <x:v>Rice Cookers</x:v>
      </x:c>
      <x:c r="E194" s="95" t="str">
        <x:v>Roundup</x:v>
      </x:c>
      <x:c r="F194" s="95" t="str">
        <x:v>RC-PIL</x:v>
      </x:c>
      <x:c r="G194" s="95" t="str">
        <x:v>best japanese rice cooker</x:v>
      </x:c>
      <x:c r="H194" s="95" t="str">
        <x:v>Commercial Investigation</x:v>
      </x:c>
      <x:c r="I194" s="95" t="str">
        <x:v>BOFU</x:v>
      </x:c>
      <x:c r="J194" s="95" t="str">
        <x:v>Best Japanese Rice Cookers</x:v>
      </x:c>
      <x:c r="K194" s="95" t="str">
        <x:v>/best-japanese-rice-cooker/</x:v>
      </x:c>
      <x:c r="L194" s="95" t="str">
        <x:v>High — product table + contextual CTAs</x:v>
      </x:c>
      <x:c r="M194" s="95" t="str">
        <x:v>Article + ItemList + BreadcrumbList</x:v>
      </x:c>
      <x:c r="N194" s="95" t="str">
        <x:v>2,500–4,000</x:v>
      </x:c>
      <x:c r="O194" s="95" t="str">
        <x:v>Original selection methodology; spec verification; decision criteria; custom comparison table; explain exclusions; ideally hands-on notes or documented research.</x:v>
      </x:c>
      <x:c r="P194" s="101" t="str">
        <x:v>Not Started</x:v>
      </x:c>
    </x:row>
    <x:row r="195">
      <x:c r="A195" s="100" t="n">
        <x:v>194</x:v>
      </x:c>
      <x:c r="B195" s="95" t="str">
        <x:v>WM-R01</x:v>
      </x:c>
      <x:c r="C195" s="95" t="str">
        <x:v>P4</x:v>
      </x:c>
      <x:c r="D195" s="95" t="str">
        <x:v>Waffle Makers</x:v>
      </x:c>
      <x:c r="E195" s="95" t="str">
        <x:v>Roundup</x:v>
      </x:c>
      <x:c r="F195" s="95" t="str">
        <x:v>WM-PIL</x:v>
      </x:c>
      <x:c r="G195" s="95" t="str">
        <x:v>best waffle maker under $50</x:v>
      </x:c>
      <x:c r="H195" s="95" t="str">
        <x:v>Commercial Investigation</x:v>
      </x:c>
      <x:c r="I195" s="95" t="str">
        <x:v>BOFU</x:v>
      </x:c>
      <x:c r="J195" s="95" t="str">
        <x:v>Best Waffle Makers Under $50</x:v>
      </x:c>
      <x:c r="K195" s="95" t="str">
        <x:v>/best-waffle-maker-under-50/</x:v>
      </x:c>
      <x:c r="L195" s="95" t="str">
        <x:v>High — product table + contextual CTAs</x:v>
      </x:c>
      <x:c r="M195" s="95" t="str">
        <x:v>Article + ItemList + BreadcrumbList</x:v>
      </x:c>
      <x:c r="N195" s="95" t="str">
        <x:v>2,500–4,000</x:v>
      </x:c>
      <x:c r="O195" s="95" t="str">
        <x:v>Original selection methodology; spec verification; decision criteria; custom comparison table; explain exclusions; ideally hands-on notes or documented research.</x:v>
      </x:c>
      <x:c r="P195" s="101" t="str">
        <x:v>Not Started</x:v>
      </x:c>
    </x:row>
    <x:row r="196">
      <x:c r="A196" s="100" t="n">
        <x:v>195</x:v>
      </x:c>
      <x:c r="B196" s="95" t="str">
        <x:v>WM-R02</x:v>
      </x:c>
      <x:c r="C196" s="95" t="str">
        <x:v>P4</x:v>
      </x:c>
      <x:c r="D196" s="95" t="str">
        <x:v>Waffle Makers</x:v>
      </x:c>
      <x:c r="E196" s="95" t="str">
        <x:v>Roundup</x:v>
      </x:c>
      <x:c r="F196" s="95" t="str">
        <x:v>WM-PIL</x:v>
      </x:c>
      <x:c r="G196" s="95" t="str">
        <x:v>best belgian waffle maker</x:v>
      </x:c>
      <x:c r="H196" s="95" t="str">
        <x:v>Commercial Investigation</x:v>
      </x:c>
      <x:c r="I196" s="95" t="str">
        <x:v>BOFU</x:v>
      </x:c>
      <x:c r="J196" s="95" t="str">
        <x:v>Best Belgian Waffle Makers</x:v>
      </x:c>
      <x:c r="K196" s="95" t="str">
        <x:v>/best-belgian-waffle-maker/</x:v>
      </x:c>
      <x:c r="L196" s="95" t="str">
        <x:v>High — product table + contextual CTAs</x:v>
      </x:c>
      <x:c r="M196" s="95" t="str">
        <x:v>Article + ItemList + BreadcrumbList</x:v>
      </x:c>
      <x:c r="N196" s="95" t="str">
        <x:v>2,500–4,000</x:v>
      </x:c>
      <x:c r="O196" s="95" t="str">
        <x:v>Original selection methodology; spec verification; decision criteria; custom comparison table; explain exclusions; ideally hands-on notes or documented research.</x:v>
      </x:c>
      <x:c r="P196" s="101" t="str">
        <x:v>Not Started</x:v>
      </x:c>
    </x:row>
    <x:row r="197">
      <x:c r="A197" s="100" t="n">
        <x:v>196</x:v>
      </x:c>
      <x:c r="B197" s="95" t="str">
        <x:v>WM-R03</x:v>
      </x:c>
      <x:c r="C197" s="95" t="str">
        <x:v>P4</x:v>
      </x:c>
      <x:c r="D197" s="95" t="str">
        <x:v>Waffle Makers</x:v>
      </x:c>
      <x:c r="E197" s="95" t="str">
        <x:v>Roundup</x:v>
      </x:c>
      <x:c r="F197" s="95" t="str">
        <x:v>WM-PIL</x:v>
      </x:c>
      <x:c r="G197" s="95" t="str">
        <x:v>best mini waffle maker</x:v>
      </x:c>
      <x:c r="H197" s="95" t="str">
        <x:v>Commercial Investigation</x:v>
      </x:c>
      <x:c r="I197" s="95" t="str">
        <x:v>BOFU</x:v>
      </x:c>
      <x:c r="J197" s="95" t="str">
        <x:v>Best Mini Waffle Makers</x:v>
      </x:c>
      <x:c r="K197" s="95" t="str">
        <x:v>/best-mini-waffle-maker/</x:v>
      </x:c>
      <x:c r="L197" s="95" t="str">
        <x:v>High — product table + contextual CTAs</x:v>
      </x:c>
      <x:c r="M197" s="95" t="str">
        <x:v>Article + ItemList + BreadcrumbList</x:v>
      </x:c>
      <x:c r="N197" s="95" t="str">
        <x:v>2,500–4,000</x:v>
      </x:c>
      <x:c r="O197" s="95" t="str">
        <x:v>Original selection methodology; spec verification; decision criteria; custom comparison table; explain exclusions; ideally hands-on notes or documented research.</x:v>
      </x:c>
      <x:c r="P197" s="101" t="str">
        <x:v>Not Started</x:v>
      </x:c>
    </x:row>
    <x:row r="198">
      <x:c r="A198" s="100" t="n">
        <x:v>197</x:v>
      </x:c>
      <x:c r="B198" s="95" t="str">
        <x:v>WM-R04</x:v>
      </x:c>
      <x:c r="C198" s="95" t="str">
        <x:v>P4</x:v>
      </x:c>
      <x:c r="D198" s="95" t="str">
        <x:v>Waffle Makers</x:v>
      </x:c>
      <x:c r="E198" s="95" t="str">
        <x:v>Roundup</x:v>
      </x:c>
      <x:c r="F198" s="95" t="str">
        <x:v>WM-PIL</x:v>
      </x:c>
      <x:c r="G198" s="95" t="str">
        <x:v>best flip waffle maker</x:v>
      </x:c>
      <x:c r="H198" s="95" t="str">
        <x:v>Commercial Investigation</x:v>
      </x:c>
      <x:c r="I198" s="95" t="str">
        <x:v>BOFU</x:v>
      </x:c>
      <x:c r="J198" s="95" t="str">
        <x:v>Best Flip Waffle Makers</x:v>
      </x:c>
      <x:c r="K198" s="95" t="str">
        <x:v>/best-flip-waffle-maker/</x:v>
      </x:c>
      <x:c r="L198" s="95" t="str">
        <x:v>High — product table + contextual CTAs</x:v>
      </x:c>
      <x:c r="M198" s="95" t="str">
        <x:v>Article + ItemList + BreadcrumbList</x:v>
      </x:c>
      <x:c r="N198" s="95" t="str">
        <x:v>2,500–4,000</x:v>
      </x:c>
      <x:c r="O198" s="95" t="str">
        <x:v>Original selection methodology; spec verification; decision criteria; custom comparison table; explain exclusions; ideally hands-on notes or documented research.</x:v>
      </x:c>
      <x:c r="P198" s="101" t="str">
        <x:v>Not Started</x:v>
      </x:c>
    </x:row>
    <x:row r="199">
      <x:c r="A199" s="100" t="n">
        <x:v>198</x:v>
      </x:c>
      <x:c r="B199" s="95" t="str">
        <x:v>CG-C02</x:v>
      </x:c>
      <x:c r="C199" s="95" t="str">
        <x:v>P4</x:v>
      </x:c>
      <x:c r="D199" s="95" t="str">
        <x:v>Coffee Grinders</x:v>
      </x:c>
      <x:c r="E199" s="95" t="str">
        <x:v>Comparison</x:v>
      </x:c>
      <x:c r="F199" s="95" t="str">
        <x:v>CG-PIL</x:v>
      </x:c>
      <x:c r="G199" s="95" t="str">
        <x:v>manual vs electric coffee grinder</x:v>
      </x:c>
      <x:c r="H199" s="95" t="str">
        <x:v>Commercial Investigation</x:v>
      </x:c>
      <x:c r="I199" s="95" t="str">
        <x:v>BOFU</x:v>
      </x:c>
      <x:c r="J199" s="95" t="str">
        <x:v>Manual vs Electric Coffee Grinder</x:v>
      </x:c>
      <x:c r="K199" s="95" t="str">
        <x:v>/manual-vs-electric-coffee-grinder/</x:v>
      </x:c>
      <x:c r="L199" s="95" t="str">
        <x:v>High — both products + winner CTAs</x:v>
      </x:c>
      <x:c r="M199" s="95" t="str">
        <x:v>Article + ItemList + BreadcrumbList</x:v>
      </x:c>
      <x:c r="N199" s="95" t="str">
        <x:v>2,000–3,000</x:v>
      </x:c>
      <x:c r="O199" s="95" t="str">
        <x:v>Side-by-side criteria, validated specs, task-based winner logic, price checked date, clear uncertainty.</x:v>
      </x:c>
      <x:c r="P199" s="101" t="str">
        <x:v>Not Started</x:v>
      </x:c>
    </x:row>
    <x:row r="200">
      <x:c r="A200" s="100" t="n">
        <x:v>199</x:v>
      </x:c>
      <x:c r="B200" s="95" t="str">
        <x:v>CG-C03</x:v>
      </x:c>
      <x:c r="C200" s="95" t="str">
        <x:v>P4</x:v>
      </x:c>
      <x:c r="D200" s="95" t="str">
        <x:v>Coffee Grinders</x:v>
      </x:c>
      <x:c r="E200" s="95" t="str">
        <x:v>Comparison</x:v>
      </x:c>
      <x:c r="F200" s="95" t="str">
        <x:v>CG-PIL</x:v>
      </x:c>
      <x:c r="G200" s="95" t="str">
        <x:v>conical vs flat burr grinder</x:v>
      </x:c>
      <x:c r="H200" s="95" t="str">
        <x:v>Commercial Investigation</x:v>
      </x:c>
      <x:c r="I200" s="95" t="str">
        <x:v>BOFU</x:v>
      </x:c>
      <x:c r="J200" s="95" t="str">
        <x:v>Conical vs Flat Burr Grinder</x:v>
      </x:c>
      <x:c r="K200" s="95" t="str">
        <x:v>/conical-vs-flat-burr-grinder/</x:v>
      </x:c>
      <x:c r="L200" s="95" t="str">
        <x:v>High — both products + winner CTAs</x:v>
      </x:c>
      <x:c r="M200" s="95" t="str">
        <x:v>Article + ItemList + BreadcrumbList</x:v>
      </x:c>
      <x:c r="N200" s="95" t="str">
        <x:v>2,000–3,000</x:v>
      </x:c>
      <x:c r="O200" s="95" t="str">
        <x:v>Side-by-side criteria, validated specs, task-based winner logic, price checked date, clear uncertainty.</x:v>
      </x:c>
      <x:c r="P200" s="101" t="str">
        <x:v>Not Started</x:v>
      </x:c>
    </x:row>
    <x:row r="201">
      <x:c r="A201" s="100" t="n">
        <x:v>200</x:v>
      </x:c>
      <x:c r="B201" s="95" t="str">
        <x:v>FP-C04</x:v>
      </x:c>
      <x:c r="C201" s="95" t="str">
        <x:v>P4</x:v>
      </x:c>
      <x:c r="D201" s="95" t="str">
        <x:v>Food Processors</x:v>
      </x:c>
      <x:c r="E201" s="95" t="str">
        <x:v>Comparison</x:v>
      </x:c>
      <x:c r="F201" s="95" t="str">
        <x:v>FP-PIL</x:v>
      </x:c>
      <x:c r="G201" s="95" t="str">
        <x:v>8 cup vs 14 cup food processor</x:v>
      </x:c>
      <x:c r="H201" s="95" t="str">
        <x:v>Commercial Investigation</x:v>
      </x:c>
      <x:c r="I201" s="95" t="str">
        <x:v>BOFU</x:v>
      </x:c>
      <x:c r="J201" s="95" t="str">
        <x:v>8-Cup vs 14-Cup Food Processor</x:v>
      </x:c>
      <x:c r="K201" s="95" t="str">
        <x:v>/8-cup-vs-14-cup-food-processor/</x:v>
      </x:c>
      <x:c r="L201" s="95" t="str">
        <x:v>High — both products + winner CTAs</x:v>
      </x:c>
      <x:c r="M201" s="95" t="str">
        <x:v>Article + ItemList + BreadcrumbList</x:v>
      </x:c>
      <x:c r="N201" s="95" t="str">
        <x:v>2,000–3,000</x:v>
      </x:c>
      <x:c r="O201" s="95" t="str">
        <x:v>Side-by-side criteria, validated specs, task-based winner logic, price checked date, clear uncertainty.</x:v>
      </x:c>
      <x:c r="P201" s="101" t="str">
        <x:v>Not Started</x:v>
      </x:c>
    </x:row>
    <x:row r="202">
      <x:c r="A202" s="100" t="n">
        <x:v>201</x:v>
      </x:c>
      <x:c r="B202" s="95" t="str">
        <x:v>MC-C02</x:v>
      </x:c>
      <x:c r="C202" s="95" t="str">
        <x:v>P4</x:v>
      </x:c>
      <x:c r="D202" s="95" t="str">
        <x:v>Mini Choppers</x:v>
      </x:c>
      <x:c r="E202" s="95" t="str">
        <x:v>Comparison</x:v>
      </x:c>
      <x:c r="F202" s="95" t="str">
        <x:v>MC-PIL</x:v>
      </x:c>
      <x:c r="G202" s="95" t="str">
        <x:v>manual vs electric food chopper</x:v>
      </x:c>
      <x:c r="H202" s="95" t="str">
        <x:v>Commercial Investigation</x:v>
      </x:c>
      <x:c r="I202" s="95" t="str">
        <x:v>BOFU</x:v>
      </x:c>
      <x:c r="J202" s="95" t="str">
        <x:v>Manual vs Electric Food Chopper</x:v>
      </x:c>
      <x:c r="K202" s="95" t="str">
        <x:v>/manual-vs-electric-food-chopper/</x:v>
      </x:c>
      <x:c r="L202" s="95" t="str">
        <x:v>High — both products + winner CTAs</x:v>
      </x:c>
      <x:c r="M202" s="95" t="str">
        <x:v>Article + ItemList + BreadcrumbList</x:v>
      </x:c>
      <x:c r="N202" s="95" t="str">
        <x:v>2,000–3,000</x:v>
      </x:c>
      <x:c r="O202" s="95" t="str">
        <x:v>Side-by-side criteria, validated specs, task-based winner logic, price checked date, clear uncertainty.</x:v>
      </x:c>
      <x:c r="P202" s="101" t="str">
        <x:v>Not Started</x:v>
      </x:c>
    </x:row>
    <x:row r="203">
      <x:c r="A203" s="100" t="n">
        <x:v>202</x:v>
      </x:c>
      <x:c r="B203" s="95" t="str">
        <x:v>RC-C02</x:v>
      </x:c>
      <x:c r="C203" s="95" t="str">
        <x:v>P4</x:v>
      </x:c>
      <x:c r="D203" s="95" t="str">
        <x:v>Rice Cookers</x:v>
      </x:c>
      <x:c r="E203" s="95" t="str">
        <x:v>Comparison</x:v>
      </x:c>
      <x:c r="F203" s="95" t="str">
        <x:v>RC-PIL</x:v>
      </x:c>
      <x:c r="G203" s="95" t="str">
        <x:v>micom vs basic rice cooker</x:v>
      </x:c>
      <x:c r="H203" s="95" t="str">
        <x:v>Commercial Investigation</x:v>
      </x:c>
      <x:c r="I203" s="95" t="str">
        <x:v>BOFU</x:v>
      </x:c>
      <x:c r="J203" s="95" t="str">
        <x:v>Micom vs Basic Rice Cooker</x:v>
      </x:c>
      <x:c r="K203" s="95" t="str">
        <x:v>/micom-vs-basic-rice-cooker/</x:v>
      </x:c>
      <x:c r="L203" s="95" t="str">
        <x:v>High — both products + winner CTAs</x:v>
      </x:c>
      <x:c r="M203" s="95" t="str">
        <x:v>Article + ItemList + BreadcrumbList</x:v>
      </x:c>
      <x:c r="N203" s="95" t="str">
        <x:v>2,000–3,000</x:v>
      </x:c>
      <x:c r="O203" s="95" t="str">
        <x:v>Side-by-side criteria, validated specs, task-based winner logic, price checked date, clear uncertainty.</x:v>
      </x:c>
      <x:c r="P203" s="101" t="str">
        <x:v>Not Started</x:v>
      </x:c>
    </x:row>
    <x:row r="204">
      <x:c r="A204" s="100" t="n">
        <x:v>203</x:v>
      </x:c>
      <x:c r="B204" s="95" t="str">
        <x:v>RC-C03</x:v>
      </x:c>
      <x:c r="C204" s="95" t="str">
        <x:v>P4</x:v>
      </x:c>
      <x:c r="D204" s="95" t="str">
        <x:v>Rice Cookers</x:v>
      </x:c>
      <x:c r="E204" s="95" t="str">
        <x:v>Comparison</x:v>
      </x:c>
      <x:c r="F204" s="95" t="str">
        <x:v>RC-PIL</x:v>
      </x:c>
      <x:c r="G204" s="95" t="str">
        <x:v>3 cup vs 5 cup rice cooker</x:v>
      </x:c>
      <x:c r="H204" s="95" t="str">
        <x:v>Commercial Investigation</x:v>
      </x:c>
      <x:c r="I204" s="95" t="str">
        <x:v>BOFU</x:v>
      </x:c>
      <x:c r="J204" s="95" t="str">
        <x:v>3-Cup vs 5-Cup Rice Cooker</x:v>
      </x:c>
      <x:c r="K204" s="95" t="str">
        <x:v>/3-cup-vs-5-cup-rice-cooker/</x:v>
      </x:c>
      <x:c r="L204" s="95" t="str">
        <x:v>High — both products + winner CTAs</x:v>
      </x:c>
      <x:c r="M204" s="95" t="str">
        <x:v>Article + ItemList + BreadcrumbList</x:v>
      </x:c>
      <x:c r="N204" s="95" t="str">
        <x:v>2,000–3,000</x:v>
      </x:c>
      <x:c r="O204" s="95" t="str">
        <x:v>Side-by-side criteria, validated specs, task-based winner logic, price checked date, clear uncertainty.</x:v>
      </x:c>
      <x:c r="P204" s="101" t="str">
        <x:v>Not Started</x:v>
      </x:c>
    </x:row>
    <x:row r="205">
      <x:c r="A205" s="100" t="n">
        <x:v>204</x:v>
      </x:c>
      <x:c r="B205" s="95" t="str">
        <x:v>WM-C01</x:v>
      </x:c>
      <x:c r="C205" s="95" t="str">
        <x:v>P4</x:v>
      </x:c>
      <x:c r="D205" s="95" t="str">
        <x:v>Waffle Makers</x:v>
      </x:c>
      <x:c r="E205" s="95" t="str">
        <x:v>Comparison</x:v>
      </x:c>
      <x:c r="F205" s="95" t="str">
        <x:v>WM-PIL</x:v>
      </x:c>
      <x:c r="G205" s="95" t="str">
        <x:v>belgian vs classic waffle maker</x:v>
      </x:c>
      <x:c r="H205" s="95" t="str">
        <x:v>Commercial Investigation</x:v>
      </x:c>
      <x:c r="I205" s="95" t="str">
        <x:v>BOFU</x:v>
      </x:c>
      <x:c r="J205" s="95" t="str">
        <x:v>Belgian vs Classic Waffle Maker</x:v>
      </x:c>
      <x:c r="K205" s="95" t="str">
        <x:v>/belgian-vs-classic-waffle-maker/</x:v>
      </x:c>
      <x:c r="L205" s="95" t="str">
        <x:v>High — both products + winner CTAs</x:v>
      </x:c>
      <x:c r="M205" s="95" t="str">
        <x:v>Article + ItemList + BreadcrumbList</x:v>
      </x:c>
      <x:c r="N205" s="95" t="str">
        <x:v>2,000–3,000</x:v>
      </x:c>
      <x:c r="O205" s="95" t="str">
        <x:v>Side-by-side criteria, validated specs, task-based winner logic, price checked date, clear uncertainty.</x:v>
      </x:c>
      <x:c r="P205" s="101" t="str">
        <x:v>Not Started</x:v>
      </x:c>
    </x:row>
    <x:row r="206">
      <x:c r="A206" s="100" t="n">
        <x:v>205</x:v>
      </x:c>
      <x:c r="B206" s="95" t="str">
        <x:v>WM-C02</x:v>
      </x:c>
      <x:c r="C206" s="95" t="str">
        <x:v>P4</x:v>
      </x:c>
      <x:c r="D206" s="95" t="str">
        <x:v>Waffle Makers</x:v>
      </x:c>
      <x:c r="E206" s="95" t="str">
        <x:v>Comparison</x:v>
      </x:c>
      <x:c r="F206" s="95" t="str">
        <x:v>WM-PIL</x:v>
      </x:c>
      <x:c r="G206" s="95" t="str">
        <x:v>flip vs standard waffle maker</x:v>
      </x:c>
      <x:c r="H206" s="95" t="str">
        <x:v>Commercial Investigation</x:v>
      </x:c>
      <x:c r="I206" s="95" t="str">
        <x:v>BOFU</x:v>
      </x:c>
      <x:c r="J206" s="95" t="str">
        <x:v>Flip vs Standard Waffle Maker</x:v>
      </x:c>
      <x:c r="K206" s="95" t="str">
        <x:v>/flip-vs-standard-waffle-maker/</x:v>
      </x:c>
      <x:c r="L206" s="95" t="str">
        <x:v>High — both products + winner CTAs</x:v>
      </x:c>
      <x:c r="M206" s="95" t="str">
        <x:v>Article + ItemList + BreadcrumbList</x:v>
      </x:c>
      <x:c r="N206" s="95" t="str">
        <x:v>2,000–3,000</x:v>
      </x:c>
      <x:c r="O206" s="95" t="str">
        <x:v>Side-by-side criteria, validated specs, task-based winner logic, price checked date, clear uncertainty.</x:v>
      </x:c>
      <x:c r="P206" s="101" t="str">
        <x:v>Not Started</x:v>
      </x:c>
    </x:row>
    <x:row r="207">
      <x:c r="A207" s="100" t="n">
        <x:v>206</x:v>
      </x:c>
      <x:c r="B207" s="95" t="str">
        <x:v>CG-V01</x:v>
      </x:c>
      <x:c r="C207" s="95" t="str">
        <x:v>P4</x:v>
      </x:c>
      <x:c r="D207" s="95" t="str">
        <x:v>Coffee Grinders</x:v>
      </x:c>
      <x:c r="E207" s="95" t="str">
        <x:v>Single Review</x:v>
      </x:c>
      <x:c r="F207" s="95" t="str">
        <x:v>CG-PIL</x:v>
      </x:c>
      <x:c r="G207" s="95" t="str">
        <x:v>baratza encore esp review</x:v>
      </x:c>
      <x:c r="H207" s="95" t="str">
        <x:v>Commercial Investigation</x:v>
      </x:c>
      <x:c r="I207" s="95" t="str">
        <x:v>BOFU</x:v>
      </x:c>
      <x:c r="J207" s="95" t="str">
        <x:v>Baratza Encore ESP Review</x:v>
      </x:c>
      <x:c r="K207" s="95" t="str">
        <x:v>/baratza-encore-esp-review/</x:v>
      </x:c>
      <x:c r="L207" s="95" t="str">
        <x:v>High — primary product + alternatives</x:v>
      </x:c>
      <x:c r="M207" s="95" t="str">
        <x:v>Product + Review + BreadcrumbList (only truthful first-party review data)</x:v>
      </x:c>
      <x:c r="N207" s="95" t="str">
        <x:v>1,800–2,800</x:v>
      </x:c>
      <x:c r="O207" s="95" t="str">
        <x:v>Hands-on testing preferred. Otherwise clearly disclose research-based review; add original analysis, test protocol, photos/data where available; never invent use.</x:v>
      </x:c>
      <x:c r="P207" s="101" t="str">
        <x:v>Not Started</x:v>
      </x:c>
    </x:row>
    <x:row r="208">
      <x:c r="A208" s="100" t="n">
        <x:v>207</x:v>
      </x:c>
      <x:c r="B208" s="95" t="str">
        <x:v>CG-V02</x:v>
      </x:c>
      <x:c r="C208" s="95" t="str">
        <x:v>P4</x:v>
      </x:c>
      <x:c r="D208" s="95" t="str">
        <x:v>Coffee Grinders</x:v>
      </x:c>
      <x:c r="E208" s="95" t="str">
        <x:v>Single Review</x:v>
      </x:c>
      <x:c r="F208" s="95" t="str">
        <x:v>CG-PIL</x:v>
      </x:c>
      <x:c r="G208" s="95" t="str">
        <x:v>oxo brew conical burr grinder review</x:v>
      </x:c>
      <x:c r="H208" s="95" t="str">
        <x:v>Commercial Investigation</x:v>
      </x:c>
      <x:c r="I208" s="95" t="str">
        <x:v>BOFU</x:v>
      </x:c>
      <x:c r="J208" s="95" t="str">
        <x:v>OXO Brew Conical Burr Grinder Review</x:v>
      </x:c>
      <x:c r="K208" s="95" t="str">
        <x:v>/oxo-brew-conical-burr-grinder-review/</x:v>
      </x:c>
      <x:c r="L208" s="95" t="str">
        <x:v>High — primary product + alternatives</x:v>
      </x:c>
      <x:c r="M208" s="95" t="str">
        <x:v>Product + Review + BreadcrumbList (only truthful first-party review data)</x:v>
      </x:c>
      <x:c r="N208" s="95" t="str">
        <x:v>1,800–2,800</x:v>
      </x:c>
      <x:c r="O208" s="95" t="str">
        <x:v>Hands-on testing preferred. Otherwise clearly disclose research-based review; add original analysis, test protocol, photos/data where available; never invent use.</x:v>
      </x:c>
      <x:c r="P208" s="101" t="str">
        <x:v>Not Started</x:v>
      </x:c>
    </x:row>
    <x:row r="209">
      <x:c r="A209" s="100" t="n">
        <x:v>208</x:v>
      </x:c>
      <x:c r="B209" s="95" t="str">
        <x:v>CG-V03</x:v>
      </x:c>
      <x:c r="C209" s="95" t="str">
        <x:v>P4</x:v>
      </x:c>
      <x:c r="D209" s="95" t="str">
        <x:v>Coffee Grinders</x:v>
      </x:c>
      <x:c r="E209" s="95" t="str">
        <x:v>Single Review</x:v>
      </x:c>
      <x:c r="F209" s="95" t="str">
        <x:v>CG-PIL</x:v>
      </x:c>
      <x:c r="G209" s="95" t="str">
        <x:v>fellow ode gen 2 review</x:v>
      </x:c>
      <x:c r="H209" s="95" t="str">
        <x:v>Commercial Investigation</x:v>
      </x:c>
      <x:c r="I209" s="95" t="str">
        <x:v>BOFU</x:v>
      </x:c>
      <x:c r="J209" s="95" t="str">
        <x:v>Fellow Ode Gen 2 Review</x:v>
      </x:c>
      <x:c r="K209" s="95" t="str">
        <x:v>/fellow-ode-gen-2-review/</x:v>
      </x:c>
      <x:c r="L209" s="95" t="str">
        <x:v>High — primary product + alternatives</x:v>
      </x:c>
      <x:c r="M209" s="95" t="str">
        <x:v>Product + Review + BreadcrumbList (only truthful first-party review data)</x:v>
      </x:c>
      <x:c r="N209" s="95" t="str">
        <x:v>1,800–2,800</x:v>
      </x:c>
      <x:c r="O209" s="95" t="str">
        <x:v>Hands-on testing preferred. Otherwise clearly disclose research-based review; add original analysis, test protocol, photos/data where available; never invent use.</x:v>
      </x:c>
      <x:c r="P209" s="101" t="str">
        <x:v>Not Started</x:v>
      </x:c>
    </x:row>
    <x:row r="210">
      <x:c r="A210" s="100" t="n">
        <x:v>209</x:v>
      </x:c>
      <x:c r="B210" s="95" t="str">
        <x:v>FP-V02</x:v>
      </x:c>
      <x:c r="C210" s="95" t="str">
        <x:v>P4</x:v>
      </x:c>
      <x:c r="D210" s="95" t="str">
        <x:v>Food Processors</x:v>
      </x:c>
      <x:c r="E210" s="95" t="str">
        <x:v>Single Review</x:v>
      </x:c>
      <x:c r="F210" s="95" t="str">
        <x:v>FP-PIL</x:v>
      </x:c>
      <x:c r="G210" s="95" t="str">
        <x:v>kitchenaid 9 cup food processor review</x:v>
      </x:c>
      <x:c r="H210" s="95" t="str">
        <x:v>Commercial Investigation</x:v>
      </x:c>
      <x:c r="I210" s="95" t="str">
        <x:v>BOFU</x:v>
      </x:c>
      <x:c r="J210" s="95" t="str">
        <x:v>KitchenAid 9-Cup Food Processor Review</x:v>
      </x:c>
      <x:c r="K210" s="95" t="str">
        <x:v>/kitchenaid-9-cup-food-processor-review/</x:v>
      </x:c>
      <x:c r="L210" s="95" t="str">
        <x:v>High — primary product + alternatives</x:v>
      </x:c>
      <x:c r="M210" s="95" t="str">
        <x:v>Product + Review + BreadcrumbList (only truthful first-party review data)</x:v>
      </x:c>
      <x:c r="N210" s="95" t="str">
        <x:v>1,800–2,800</x:v>
      </x:c>
      <x:c r="O210" s="95" t="str">
        <x:v>Hands-on testing preferred. Otherwise clearly disclose research-based review; add original analysis, test protocol, photos/data where available; never invent use.</x:v>
      </x:c>
      <x:c r="P210" s="101" t="str">
        <x:v>Not Started</x:v>
      </x:c>
    </x:row>
    <x:row r="211">
      <x:c r="A211" s="100" t="n">
        <x:v>210</x:v>
      </x:c>
      <x:c r="B211" s="95" t="str">
        <x:v>FP-V03</x:v>
      </x:c>
      <x:c r="C211" s="95" t="str">
        <x:v>P4</x:v>
      </x:c>
      <x:c r="D211" s="95" t="str">
        <x:v>Food Processors</x:v>
      </x:c>
      <x:c r="E211" s="95" t="str">
        <x:v>Single Review</x:v>
      </x:c>
      <x:c r="F211" s="95" t="str">
        <x:v>FP-PIL</x:v>
      </x:c>
      <x:c r="G211" s="95" t="str">
        <x:v>ninja professional food processor review</x:v>
      </x:c>
      <x:c r="H211" s="95" t="str">
        <x:v>Commercial Investigation</x:v>
      </x:c>
      <x:c r="I211" s="95" t="str">
        <x:v>BOFU</x:v>
      </x:c>
      <x:c r="J211" s="95" t="str">
        <x:v>Ninja Professional Food Processor Review</x:v>
      </x:c>
      <x:c r="K211" s="95" t="str">
        <x:v>/ninja-professional-food-processor-review/</x:v>
      </x:c>
      <x:c r="L211" s="95" t="str">
        <x:v>High — primary product + alternatives</x:v>
      </x:c>
      <x:c r="M211" s="95" t="str">
        <x:v>Product + Review + BreadcrumbList (only truthful first-party review data)</x:v>
      </x:c>
      <x:c r="N211" s="95" t="str">
        <x:v>1,800–2,800</x:v>
      </x:c>
      <x:c r="O211" s="95" t="str">
        <x:v>Hands-on testing preferred. Otherwise clearly disclose research-based review; add original analysis, test protocol, photos/data where available; never invent use.</x:v>
      </x:c>
      <x:c r="P211" s="101" t="str">
        <x:v>Not Started</x:v>
      </x:c>
    </x:row>
    <x:row r="212">
      <x:c r="A212" s="100" t="n">
        <x:v>211</x:v>
      </x:c>
      <x:c r="B212" s="95" t="str">
        <x:v>MC-V01</x:v>
      </x:c>
      <x:c r="C212" s="95" t="str">
        <x:v>P4</x:v>
      </x:c>
      <x:c r="D212" s="95" t="str">
        <x:v>Mini Choppers</x:v>
      </x:c>
      <x:c r="E212" s="95" t="str">
        <x:v>Single Review</x:v>
      </x:c>
      <x:c r="F212" s="95" t="str">
        <x:v>MC-PIL</x:v>
      </x:c>
      <x:c r="G212" s="95" t="str">
        <x:v>kitchenaid 3.5 cup food chopper review</x:v>
      </x:c>
      <x:c r="H212" s="95" t="str">
        <x:v>Commercial Investigation</x:v>
      </x:c>
      <x:c r="I212" s="95" t="str">
        <x:v>BOFU</x:v>
      </x:c>
      <x:c r="J212" s="95" t="str">
        <x:v>KitchenAid 3.5-Cup Food Chopper Review</x:v>
      </x:c>
      <x:c r="K212" s="95" t="str">
        <x:v>/kitchenaid-3-5-cup-food-chopper-review/</x:v>
      </x:c>
      <x:c r="L212" s="95" t="str">
        <x:v>High — primary product + alternatives</x:v>
      </x:c>
      <x:c r="M212" s="95" t="str">
        <x:v>Product + Review + BreadcrumbList (only truthful first-party review data)</x:v>
      </x:c>
      <x:c r="N212" s="95" t="str">
        <x:v>1,800–2,800</x:v>
      </x:c>
      <x:c r="O212" s="95" t="str">
        <x:v>Hands-on testing preferred. Otherwise clearly disclose research-based review; add original analysis, test protocol, photos/data where available; never invent use.</x:v>
      </x:c>
      <x:c r="P212" s="101" t="str">
        <x:v>Not Started</x:v>
      </x:c>
    </x:row>
    <x:row r="213">
      <x:c r="A213" s="100" t="n">
        <x:v>212</x:v>
      </x:c>
      <x:c r="B213" s="95" t="str">
        <x:v>MC-V02</x:v>
      </x:c>
      <x:c r="C213" s="95" t="str">
        <x:v>P4</x:v>
      </x:c>
      <x:c r="D213" s="95" t="str">
        <x:v>Mini Choppers</x:v>
      </x:c>
      <x:c r="E213" s="95" t="str">
        <x:v>Single Review</x:v>
      </x:c>
      <x:c r="F213" s="95" t="str">
        <x:v>MC-PIL</x:v>
      </x:c>
      <x:c r="G213" s="95" t="str">
        <x:v>cuisinart mini prep review</x:v>
      </x:c>
      <x:c r="H213" s="95" t="str">
        <x:v>Commercial Investigation</x:v>
      </x:c>
      <x:c r="I213" s="95" t="str">
        <x:v>BOFU</x:v>
      </x:c>
      <x:c r="J213" s="95" t="str">
        <x:v>Cuisinart Mini-Prep Review</x:v>
      </x:c>
      <x:c r="K213" s="95" t="str">
        <x:v>/cuisinart-mini-prep-review/</x:v>
      </x:c>
      <x:c r="L213" s="95" t="str">
        <x:v>High — primary product + alternatives</x:v>
      </x:c>
      <x:c r="M213" s="95" t="str">
        <x:v>Product + Review + BreadcrumbList (only truthful first-party review data)</x:v>
      </x:c>
      <x:c r="N213" s="95" t="str">
        <x:v>1,800–2,800</x:v>
      </x:c>
      <x:c r="O213" s="95" t="str">
        <x:v>Hands-on testing preferred. Otherwise clearly disclose research-based review; add original analysis, test protocol, photos/data where available; never invent use.</x:v>
      </x:c>
      <x:c r="P213" s="101" t="str">
        <x:v>Not Started</x:v>
      </x:c>
    </x:row>
    <x:row r="214">
      <x:c r="A214" s="100" t="n">
        <x:v>213</x:v>
      </x:c>
      <x:c r="B214" s="95" t="str">
        <x:v>RC-V01</x:v>
      </x:c>
      <x:c r="C214" s="95" t="str">
        <x:v>P4</x:v>
      </x:c>
      <x:c r="D214" s="95" t="str">
        <x:v>Rice Cookers</x:v>
      </x:c>
      <x:c r="E214" s="95" t="str">
        <x:v>Single Review</x:v>
      </x:c>
      <x:c r="F214" s="95" t="str">
        <x:v>RC-PIL</x:v>
      </x:c>
      <x:c r="G214" s="95" t="str">
        <x:v>zojirushi neuro fuzzy review</x:v>
      </x:c>
      <x:c r="H214" s="95" t="str">
        <x:v>Commercial Investigation</x:v>
      </x:c>
      <x:c r="I214" s="95" t="str">
        <x:v>BOFU</x:v>
      </x:c>
      <x:c r="J214" s="95" t="str">
        <x:v>Zojirushi Neuro Fuzzy Rice Cooker Review</x:v>
      </x:c>
      <x:c r="K214" s="95" t="str">
        <x:v>/zojirushi-neuro-fuzzy-review/</x:v>
      </x:c>
      <x:c r="L214" s="95" t="str">
        <x:v>High — primary product + alternatives</x:v>
      </x:c>
      <x:c r="M214" s="95" t="str">
        <x:v>Product + Review + BreadcrumbList (only truthful first-party review data)</x:v>
      </x:c>
      <x:c r="N214" s="95" t="str">
        <x:v>1,800–2,800</x:v>
      </x:c>
      <x:c r="O214" s="95" t="str">
        <x:v>Hands-on testing preferred. Otherwise clearly disclose research-based review; add original analysis, test protocol, photos/data where available; never invent use.</x:v>
      </x:c>
      <x:c r="P214" s="101" t="str">
        <x:v>Not Started</x:v>
      </x:c>
    </x:row>
    <x:row r="215">
      <x:c r="A215" s="100" t="n">
        <x:v>214</x:v>
      </x:c>
      <x:c r="B215" s="95" t="str">
        <x:v>RC-V02</x:v>
      </x:c>
      <x:c r="C215" s="95" t="str">
        <x:v>P4</x:v>
      </x:c>
      <x:c r="D215" s="95" t="str">
        <x:v>Rice Cookers</x:v>
      </x:c>
      <x:c r="E215" s="95" t="str">
        <x:v>Single Review</x:v>
      </x:c>
      <x:c r="F215" s="95" t="str">
        <x:v>RC-PIL</x:v>
      </x:c>
      <x:c r="G215" s="95" t="str">
        <x:v>aroma rice cooker review</x:v>
      </x:c>
      <x:c r="H215" s="95" t="str">
        <x:v>Commercial Investigation</x:v>
      </x:c>
      <x:c r="I215" s="95" t="str">
        <x:v>BOFU</x:v>
      </x:c>
      <x:c r="J215" s="95" t="str">
        <x:v>Aroma Rice Cooker Review</x:v>
      </x:c>
      <x:c r="K215" s="95" t="str">
        <x:v>/aroma-rice-cooker-review/</x:v>
      </x:c>
      <x:c r="L215" s="95" t="str">
        <x:v>High — primary product + alternatives</x:v>
      </x:c>
      <x:c r="M215" s="95" t="str">
        <x:v>Product + Review + BreadcrumbList (only truthful first-party review data)</x:v>
      </x:c>
      <x:c r="N215" s="95" t="str">
        <x:v>1,800–2,800</x:v>
      </x:c>
      <x:c r="O215" s="95" t="str">
        <x:v>Hands-on testing preferred. Otherwise clearly disclose research-based review; add original analysis, test protocol, photos/data where available; never invent use.</x:v>
      </x:c>
      <x:c r="P215" s="101" t="str">
        <x:v>Not Started</x:v>
      </x:c>
    </x:row>
    <x:row r="216">
      <x:c r="A216" s="100" t="n">
        <x:v>215</x:v>
      </x:c>
      <x:c r="B216" s="95" t="str">
        <x:v>WM-V01</x:v>
      </x:c>
      <x:c r="C216" s="95" t="str">
        <x:v>P4</x:v>
      </x:c>
      <x:c r="D216" s="95" t="str">
        <x:v>Waffle Makers</x:v>
      </x:c>
      <x:c r="E216" s="95" t="str">
        <x:v>Single Review</x:v>
      </x:c>
      <x:c r="F216" s="95" t="str">
        <x:v>WM-PIL</x:v>
      </x:c>
      <x:c r="G216" s="95" t="str">
        <x:v>cuisinart double belgian waffle maker review</x:v>
      </x:c>
      <x:c r="H216" s="95" t="str">
        <x:v>Commercial Investigation</x:v>
      </x:c>
      <x:c r="I216" s="95" t="str">
        <x:v>BOFU</x:v>
      </x:c>
      <x:c r="J216" s="95" t="str">
        <x:v>Cuisinart Double Belgian Waffle Maker Review</x:v>
      </x:c>
      <x:c r="K216" s="95" t="str">
        <x:v>/cuisinart-double-belgian-waffle-maker-review/</x:v>
      </x:c>
      <x:c r="L216" s="95" t="str">
        <x:v>High — primary product + alternatives</x:v>
      </x:c>
      <x:c r="M216" s="95" t="str">
        <x:v>Product + Review + BreadcrumbList (only truthful first-party review data)</x:v>
      </x:c>
      <x:c r="N216" s="95" t="str">
        <x:v>1,800–2,800</x:v>
      </x:c>
      <x:c r="O216" s="95" t="str">
        <x:v>Hands-on testing preferred. Otherwise clearly disclose research-based review; add original analysis, test protocol, photos/data where available; never invent use.</x:v>
      </x:c>
      <x:c r="P216" s="101" t="str">
        <x:v>Not Started</x:v>
      </x:c>
    </x:row>
    <x:row r="217">
      <x:c r="A217" s="100" t="n">
        <x:v>216</x:v>
      </x:c>
      <x:c r="B217" s="95" t="str">
        <x:v>WM-V02</x:v>
      </x:c>
      <x:c r="C217" s="95" t="str">
        <x:v>P4</x:v>
      </x:c>
      <x:c r="D217" s="95" t="str">
        <x:v>Waffle Makers</x:v>
      </x:c>
      <x:c r="E217" s="95" t="str">
        <x:v>Single Review</x:v>
      </x:c>
      <x:c r="F217" s="95" t="str">
        <x:v>WM-PIL</x:v>
      </x:c>
      <x:c r="G217" s="95" t="str">
        <x:v>dash mini waffle maker review</x:v>
      </x:c>
      <x:c r="H217" s="95" t="str">
        <x:v>Commercial Investigation</x:v>
      </x:c>
      <x:c r="I217" s="95" t="str">
        <x:v>BOFU</x:v>
      </x:c>
      <x:c r="J217" s="95" t="str">
        <x:v>Dash Mini Waffle Maker Review</x:v>
      </x:c>
      <x:c r="K217" s="95" t="str">
        <x:v>/dash-mini-waffle-maker-review/</x:v>
      </x:c>
      <x:c r="L217" s="95" t="str">
        <x:v>High — primary product + alternatives</x:v>
      </x:c>
      <x:c r="M217" s="95" t="str">
        <x:v>Product + Review + BreadcrumbList (only truthful first-party review data)</x:v>
      </x:c>
      <x:c r="N217" s="95" t="str">
        <x:v>1,800–2,800</x:v>
      </x:c>
      <x:c r="O217" s="95" t="str">
        <x:v>Hands-on testing preferred. Otherwise clearly disclose research-based review; add original analysis, test protocol, photos/data where available; never invent use.</x:v>
      </x:c>
      <x:c r="P217" s="101" t="str">
        <x:v>Not Started</x:v>
      </x:c>
    </x:row>
    <x:row r="218">
      <x:c r="A218" s="100" t="n">
        <x:v>217</x:v>
      </x:c>
      <x:c r="B218" s="95" t="str">
        <x:v>WM-G01</x:v>
      </x:c>
      <x:c r="C218" s="95" t="str">
        <x:v>P4</x:v>
      </x:c>
      <x:c r="D218" s="95" t="str">
        <x:v>Waffle Makers</x:v>
      </x:c>
      <x:c r="E218" s="95" t="str">
        <x:v>Buying Guide</x:v>
      </x:c>
      <x:c r="F218" s="95" t="str">
        <x:v>WM-HUB</x:v>
      </x:c>
      <x:c r="G218" s="95" t="str">
        <x:v>waffle maker buying guide</x:v>
      </x:c>
      <x:c r="H218" s="95" t="str">
        <x:v>Informational</x:v>
      </x:c>
      <x:c r="I218" s="95" t="str">
        <x:v>TOFU/MOFU</x:v>
      </x:c>
      <x:c r="J218" s="95" t="str">
        <x:v>Waffle Maker Buying Guide</x:v>
      </x:c>
      <x:c r="K218" s="95" t="str">
        <x:v>/waffle-maker-buying-guide/</x:v>
      </x:c>
      <x:c r="L218" s="95" t="str">
        <x:v>Medium — recommended examples</x:v>
      </x:c>
      <x:c r="M218" s="95" t="str">
        <x:v>Article + BreadcrumbList</x:v>
      </x:c>
      <x:c r="N218" s="95" t="str">
        <x:v>2,200–3,500</x:v>
      </x:c>
      <x:c r="O218" s="95" t="str">
        <x:v>Primary-source/manual references where useful; calculations/examples; original explanation; safety caveats; no generic rewritten filler.</x:v>
      </x:c>
      <x:c r="P218" s="101" t="str">
        <x:v>Not Started</x:v>
      </x:c>
    </x:row>
    <x:row r="219">
      <x:c r="A219" s="100" t="n">
        <x:v>218</x:v>
      </x:c>
      <x:c r="B219" s="95" t="str">
        <x:v>CG-G04</x:v>
      </x:c>
      <x:c r="C219" s="95" t="str">
        <x:v>P4</x:v>
      </x:c>
      <x:c r="D219" s="95" t="str">
        <x:v>Coffee Grinders</x:v>
      </x:c>
      <x:c r="E219" s="95" t="str">
        <x:v>Informational</x:v>
      </x:c>
      <x:c r="F219" s="95" t="str">
        <x:v>CG-HUB</x:v>
      </x:c>
      <x:c r="G219" s="95" t="str">
        <x:v>how long do coffee grinders last</x:v>
      </x:c>
      <x:c r="H219" s="95" t="str">
        <x:v>Informational</x:v>
      </x:c>
      <x:c r="I219" s="95" t="str">
        <x:v>TOFU/MOFU</x:v>
      </x:c>
      <x:c r="J219" s="95" t="str">
        <x:v>How Long Do Coffee Grinders Last?</x:v>
      </x:c>
      <x:c r="K219" s="95" t="str">
        <x:v>/how-long-do-coffee-grinders-last/</x:v>
      </x:c>
      <x:c r="L219" s="95" t="str">
        <x:v>Low/Medium — contextual product links only</x:v>
      </x:c>
      <x:c r="M219" s="95" t="str">
        <x:v>Article + BreadcrumbList</x:v>
      </x:c>
      <x:c r="N219" s="95" t="str">
        <x:v>1,200–2,200</x:v>
      </x:c>
      <x:c r="O219" s="95" t="str">
        <x:v>Primary-source/manual references where useful; calculations/examples; original explanation; safety caveats; no generic rewritten filler.</x:v>
      </x:c>
      <x:c r="P219" s="101" t="str">
        <x:v>Not Started</x:v>
      </x:c>
    </x:row>
    <x:row r="220">
      <x:c r="A220" s="100" t="n">
        <x:v>219</x:v>
      </x:c>
      <x:c r="B220" s="95" t="str">
        <x:v>FP-G06</x:v>
      </x:c>
      <x:c r="C220" s="95" t="str">
        <x:v>P4</x:v>
      </x:c>
      <x:c r="D220" s="95" t="str">
        <x:v>Food Processors</x:v>
      </x:c>
      <x:c r="E220" s="95" t="str">
        <x:v>Informational</x:v>
      </x:c>
      <x:c r="F220" s="95" t="str">
        <x:v>FP-HUB</x:v>
      </x:c>
      <x:c r="G220" s="95" t="str">
        <x:v>how long do food processors last</x:v>
      </x:c>
      <x:c r="H220" s="95" t="str">
        <x:v>Informational</x:v>
      </x:c>
      <x:c r="I220" s="95" t="str">
        <x:v>TOFU/MOFU</x:v>
      </x:c>
      <x:c r="J220" s="95" t="str">
        <x:v>How Long Do Food Processors Last?</x:v>
      </x:c>
      <x:c r="K220" s="95" t="str">
        <x:v>/how-long-do-food-processors-last/</x:v>
      </x:c>
      <x:c r="L220" s="95" t="str">
        <x:v>Low/Medium — contextual product links only</x:v>
      </x:c>
      <x:c r="M220" s="95" t="str">
        <x:v>Article + BreadcrumbList</x:v>
      </x:c>
      <x:c r="N220" s="95" t="str">
        <x:v>1,200–2,200</x:v>
      </x:c>
      <x:c r="O220" s="95" t="str">
        <x:v>Primary-source/manual references where useful; calculations/examples; original explanation; safety caveats; no generic rewritten filler.</x:v>
      </x:c>
      <x:c r="P220" s="101" t="str">
        <x:v>Not Started</x:v>
      </x:c>
    </x:row>
    <x:row r="221">
      <x:c r="A221" s="100" t="n">
        <x:v>220</x:v>
      </x:c>
      <x:c r="B221" s="95" t="str">
        <x:v>MC-G02</x:v>
      </x:c>
      <x:c r="C221" s="95" t="str">
        <x:v>P4</x:v>
      </x:c>
      <x:c r="D221" s="95" t="str">
        <x:v>Mini Choppers</x:v>
      </x:c>
      <x:c r="E221" s="95" t="str">
        <x:v>Informational</x:v>
      </x:c>
      <x:c r="F221" s="95" t="str">
        <x:v>MC-HUB</x:v>
      </x:c>
      <x:c r="G221" s="95" t="str">
        <x:v>what can you make in a mini chopper</x:v>
      </x:c>
      <x:c r="H221" s="95" t="str">
        <x:v>Informational</x:v>
      </x:c>
      <x:c r="I221" s="95" t="str">
        <x:v>TOFU/MOFU</x:v>
      </x:c>
      <x:c r="J221" s="95" t="str">
        <x:v>What Can You Make in a Mini Chopper?</x:v>
      </x:c>
      <x:c r="K221" s="95" t="str">
        <x:v>/what-can-you-make-in-a-mini-chopper/</x:v>
      </x:c>
      <x:c r="L221" s="95" t="str">
        <x:v>Low/Medium — contextual product links only</x:v>
      </x:c>
      <x:c r="M221" s="95" t="str">
        <x:v>Article + BreadcrumbList</x:v>
      </x:c>
      <x:c r="N221" s="95" t="str">
        <x:v>1,200–2,200</x:v>
      </x:c>
      <x:c r="O221" s="95" t="str">
        <x:v>Primary-source/manual references where useful; calculations/examples; original explanation; safety caveats; no generic rewritten filler.</x:v>
      </x:c>
      <x:c r="P221" s="101" t="str">
        <x:v>Not Started</x:v>
      </x:c>
    </x:row>
    <x:row r="222">
      <x:c r="A222" s="100" t="n">
        <x:v>221</x:v>
      </x:c>
      <x:c r="B222" s="95" t="str">
        <x:v>RC-G04</x:v>
      </x:c>
      <x:c r="C222" s="95" t="str">
        <x:v>P4</x:v>
      </x:c>
      <x:c r="D222" s="95" t="str">
        <x:v>Rice Cookers</x:v>
      </x:c>
      <x:c r="E222" s="95" t="str">
        <x:v>Informational</x:v>
      </x:c>
      <x:c r="F222" s="95" t="str">
        <x:v>RC-HUB</x:v>
      </x:c>
      <x:c r="G222" s="95" t="str">
        <x:v>how long do rice cookers last</x:v>
      </x:c>
      <x:c r="H222" s="95" t="str">
        <x:v>Informational</x:v>
      </x:c>
      <x:c r="I222" s="95" t="str">
        <x:v>TOFU/MOFU</x:v>
      </x:c>
      <x:c r="J222" s="95" t="str">
        <x:v>How Long Do Rice Cookers Last?</x:v>
      </x:c>
      <x:c r="K222" s="95" t="str">
        <x:v>/how-long-do-rice-cookers-last/</x:v>
      </x:c>
      <x:c r="L222" s="95" t="str">
        <x:v>Low/Medium — contextual product links only</x:v>
      </x:c>
      <x:c r="M222" s="95" t="str">
        <x:v>Article + BreadcrumbList</x:v>
      </x:c>
      <x:c r="N222" s="95" t="str">
        <x:v>1,200–2,200</x:v>
      </x:c>
      <x:c r="O222" s="95" t="str">
        <x:v>Primary-source/manual references where useful; calculations/examples; original explanation; safety caveats; no generic rewritten filler.</x:v>
      </x:c>
      <x:c r="P222" s="101" t="str">
        <x:v>Not Started</x:v>
      </x:c>
    </x:row>
    <x:row r="223">
      <x:c r="A223" s="100" t="n">
        <x:v>222</x:v>
      </x:c>
      <x:c r="B223" s="95" t="str">
        <x:v>TO-G06</x:v>
      </x:c>
      <x:c r="C223" s="95" t="str">
        <x:v>P4</x:v>
      </x:c>
      <x:c r="D223" s="95" t="str">
        <x:v>Toaster Ovens</x:v>
      </x:c>
      <x:c r="E223" s="95" t="str">
        <x:v>Informational</x:v>
      </x:c>
      <x:c r="F223" s="95" t="str">
        <x:v>TO-HUB</x:v>
      </x:c>
      <x:c r="G223" s="95" t="str">
        <x:v>how long do toaster ovens last</x:v>
      </x:c>
      <x:c r="H223" s="95" t="str">
        <x:v>Informational</x:v>
      </x:c>
      <x:c r="I223" s="95" t="str">
        <x:v>TOFU/MOFU</x:v>
      </x:c>
      <x:c r="J223" s="95" t="str">
        <x:v>How Long Do Toaster Ovens Last?</x:v>
      </x:c>
      <x:c r="K223" s="95" t="str">
        <x:v>/how-long-do-toaster-ovens-last/</x:v>
      </x:c>
      <x:c r="L223" s="95" t="str">
        <x:v>Low/Medium — contextual product links only</x:v>
      </x:c>
      <x:c r="M223" s="95" t="str">
        <x:v>Article + BreadcrumbList</x:v>
      </x:c>
      <x:c r="N223" s="95" t="str">
        <x:v>1,200–2,200</x:v>
      </x:c>
      <x:c r="O223" s="95" t="str">
        <x:v>Primary-source/manual references where useful; calculations/examples; original explanation; safety caveats; no generic rewritten filler.</x:v>
      </x:c>
      <x:c r="P223" s="101" t="str">
        <x:v>Not Started</x:v>
      </x:c>
    </x:row>
    <x:row r="224">
      <x:c r="A224" s="100" t="n">
        <x:v>223</x:v>
      </x:c>
      <x:c r="B224" s="95" t="str">
        <x:v>WM-G03</x:v>
      </x:c>
      <x:c r="C224" s="95" t="str">
        <x:v>P4</x:v>
      </x:c>
      <x:c r="D224" s="95" t="str">
        <x:v>Waffle Makers</x:v>
      </x:c>
      <x:c r="E224" s="95" t="str">
        <x:v>Informational</x:v>
      </x:c>
      <x:c r="F224" s="95" t="str">
        <x:v>WM-HUB</x:v>
      </x:c>
      <x:c r="G224" s="95" t="str">
        <x:v>how long do waffle makers last</x:v>
      </x:c>
      <x:c r="H224" s="95" t="str">
        <x:v>Informational</x:v>
      </x:c>
      <x:c r="I224" s="95" t="str">
        <x:v>TOFU/MOFU</x:v>
      </x:c>
      <x:c r="J224" s="95" t="str">
        <x:v>How Long Do Waffle Makers Last?</x:v>
      </x:c>
      <x:c r="K224" s="95" t="str">
        <x:v>/how-long-do-waffle-makers-last/</x:v>
      </x:c>
      <x:c r="L224" s="95" t="str">
        <x:v>Low/Medium — contextual product links only</x:v>
      </x:c>
      <x:c r="M224" s="95" t="str">
        <x:v>Article + BreadcrumbList</x:v>
      </x:c>
      <x:c r="N224" s="95" t="str">
        <x:v>1,200–2,200</x:v>
      </x:c>
      <x:c r="O224" s="95" t="str">
        <x:v>Primary-source/manual references where useful; calculations/examples; original explanation; safety caveats; no generic rewritten filler.</x:v>
      </x:c>
      <x:c r="P224" s="101" t="str">
        <x:v>Not Started</x:v>
      </x:c>
    </x:row>
    <x:row r="225">
      <x:c r="A225" s="100" t="n">
        <x:v>224</x:v>
      </x:c>
      <x:c r="B225" s="95" t="str">
        <x:v>CG-G03</x:v>
      </x:c>
      <x:c r="C225" s="95" t="str">
        <x:v>P4</x:v>
      </x:c>
      <x:c r="D225" s="95" t="str">
        <x:v>Coffee Grinders</x:v>
      </x:c>
      <x:c r="E225" s="95" t="str">
        <x:v>How-To</x:v>
      </x:c>
      <x:c r="F225" s="95" t="str">
        <x:v>CG-HUB</x:v>
      </x:c>
      <x:c r="G225" s="95" t="str">
        <x:v>how to clean a burr grinder</x:v>
      </x:c>
      <x:c r="H225" s="95" t="str">
        <x:v>Informational</x:v>
      </x:c>
      <x:c r="I225" s="95" t="str">
        <x:v>TOFU/MOFU</x:v>
      </x:c>
      <x:c r="J225" s="95" t="str">
        <x:v>How to Clean a Burr Grinder</x:v>
      </x:c>
      <x:c r="K225" s="95" t="str">
        <x:v>/how-to-clean-a-burr-grinder/</x:v>
      </x:c>
      <x:c r="L225" s="95" t="str">
        <x:v>Low/Medium — contextual product links only</x:v>
      </x:c>
      <x:c r="M225" s="95" t="str">
        <x:v>HowTo only when steps are visible and eligible; otherwise Article + BreadcrumbList</x:v>
      </x:c>
      <x:c r="N225" s="95" t="str">
        <x:v>1,200–2,000</x:v>
      </x:c>
      <x:c r="O225" s="95" t="str">
        <x:v>Primary-source/manual references where useful; calculations/examples; original explanation; safety caveats; no generic rewritten filler.</x:v>
      </x:c>
      <x:c r="P225" s="101" t="str">
        <x:v>Not Started</x:v>
      </x:c>
    </x:row>
    <x:row r="226">
      <x:c r="A226" s="100" t="n">
        <x:v>225</x:v>
      </x:c>
      <x:c r="B226" s="95" t="str">
        <x:v>FP-G04</x:v>
      </x:c>
      <x:c r="C226" s="95" t="str">
        <x:v>P4</x:v>
      </x:c>
      <x:c r="D226" s="95" t="str">
        <x:v>Food Processors</x:v>
      </x:c>
      <x:c r="E226" s="95" t="str">
        <x:v>How-To</x:v>
      </x:c>
      <x:c r="F226" s="95" t="str">
        <x:v>FP-HUB</x:v>
      </x:c>
      <x:c r="G226" s="95" t="str">
        <x:v>how to clean a food processor</x:v>
      </x:c>
      <x:c r="H226" s="95" t="str">
        <x:v>Informational</x:v>
      </x:c>
      <x:c r="I226" s="95" t="str">
        <x:v>TOFU/MOFU</x:v>
      </x:c>
      <x:c r="J226" s="95" t="str">
        <x:v>How to Clean a Food Processor</x:v>
      </x:c>
      <x:c r="K226" s="95" t="str">
        <x:v>/how-to-clean-a-food-processor/</x:v>
      </x:c>
      <x:c r="L226" s="95" t="str">
        <x:v>Low/Medium — contextual product links only</x:v>
      </x:c>
      <x:c r="M226" s="95" t="str">
        <x:v>HowTo only when steps are visible and eligible; otherwise Article + BreadcrumbList</x:v>
      </x:c>
      <x:c r="N226" s="95" t="str">
        <x:v>1,200–2,000</x:v>
      </x:c>
      <x:c r="O226" s="95" t="str">
        <x:v>Primary-source/manual references where useful; calculations/examples; original explanation; safety caveats; no generic rewritten filler.</x:v>
      </x:c>
      <x:c r="P226" s="101" t="str">
        <x:v>Not Started</x:v>
      </x:c>
    </x:row>
    <x:row r="227">
      <x:c r="A227" s="100" t="n">
        <x:v>226</x:v>
      </x:c>
      <x:c r="B227" s="95" t="str">
        <x:v>MC-G03</x:v>
      </x:c>
      <x:c r="C227" s="95" t="str">
        <x:v>P4</x:v>
      </x:c>
      <x:c r="D227" s="95" t="str">
        <x:v>Mini Choppers</x:v>
      </x:c>
      <x:c r="E227" s="95" t="str">
        <x:v>How-To</x:v>
      </x:c>
      <x:c r="F227" s="95" t="str">
        <x:v>MC-HUB</x:v>
      </x:c>
      <x:c r="G227" s="95" t="str">
        <x:v>how to clean a mini chopper</x:v>
      </x:c>
      <x:c r="H227" s="95" t="str">
        <x:v>Informational</x:v>
      </x:c>
      <x:c r="I227" s="95" t="str">
        <x:v>TOFU/MOFU</x:v>
      </x:c>
      <x:c r="J227" s="95" t="str">
        <x:v>How to Clean a Mini Chopper</x:v>
      </x:c>
      <x:c r="K227" s="95" t="str">
        <x:v>/how-to-clean-a-mini-chopper/</x:v>
      </x:c>
      <x:c r="L227" s="95" t="str">
        <x:v>Low/Medium — contextual product links only</x:v>
      </x:c>
      <x:c r="M227" s="95" t="str">
        <x:v>HowTo only when steps are visible and eligible; otherwise Article + BreadcrumbList</x:v>
      </x:c>
      <x:c r="N227" s="95" t="str">
        <x:v>1,200–2,000</x:v>
      </x:c>
      <x:c r="O227" s="95" t="str">
        <x:v>Primary-source/manual references where useful; calculations/examples; original explanation; safety caveats; no generic rewritten filler.</x:v>
      </x:c>
      <x:c r="P227" s="101" t="str">
        <x:v>Not Started</x:v>
      </x:c>
    </x:row>
    <x:row r="228">
      <x:c r="A228" s="100" t="n">
        <x:v>227</x:v>
      </x:c>
      <x:c r="B228" s="95" t="str">
        <x:v>RC-G03</x:v>
      </x:c>
      <x:c r="C228" s="95" t="str">
        <x:v>P4</x:v>
      </x:c>
      <x:c r="D228" s="95" t="str">
        <x:v>Rice Cookers</x:v>
      </x:c>
      <x:c r="E228" s="95" t="str">
        <x:v>How-To</x:v>
      </x:c>
      <x:c r="F228" s="95" t="str">
        <x:v>RC-HUB</x:v>
      </x:c>
      <x:c r="G228" s="95" t="str">
        <x:v>how to clean a rice cooker</x:v>
      </x:c>
      <x:c r="H228" s="95" t="str">
        <x:v>Informational</x:v>
      </x:c>
      <x:c r="I228" s="95" t="str">
        <x:v>TOFU/MOFU</x:v>
      </x:c>
      <x:c r="J228" s="95" t="str">
        <x:v>How to Clean a Rice Cooker</x:v>
      </x:c>
      <x:c r="K228" s="95" t="str">
        <x:v>/how-to-clean-a-rice-cooker/</x:v>
      </x:c>
      <x:c r="L228" s="95" t="str">
        <x:v>Low/Medium — contextual product links only</x:v>
      </x:c>
      <x:c r="M228" s="95" t="str">
        <x:v>HowTo only when steps are visible and eligible; otherwise Article + BreadcrumbList</x:v>
      </x:c>
      <x:c r="N228" s="95" t="str">
        <x:v>1,200–2,000</x:v>
      </x:c>
      <x:c r="O228" s="95" t="str">
        <x:v>Primary-source/manual references where useful; calculations/examples; original explanation; safety caveats; no generic rewritten filler.</x:v>
      </x:c>
      <x:c r="P228" s="101" t="str">
        <x:v>Not Started</x:v>
      </x:c>
    </x:row>
    <x:row r="229">
      <x:c r="A229" s="102" t="n">
        <x:v>228</x:v>
      </x:c>
      <x:c r="B229" s="103" t="str">
        <x:v>WM-G02</x:v>
      </x:c>
      <x:c r="C229" s="103" t="str">
        <x:v>P4</x:v>
      </x:c>
      <x:c r="D229" s="103" t="str">
        <x:v>Waffle Makers</x:v>
      </x:c>
      <x:c r="E229" s="103" t="str">
        <x:v>How-To</x:v>
      </x:c>
      <x:c r="F229" s="103" t="str">
        <x:v>WM-HUB</x:v>
      </x:c>
      <x:c r="G229" s="103" t="str">
        <x:v>how to clean a waffle maker</x:v>
      </x:c>
      <x:c r="H229" s="103" t="str">
        <x:v>Informational</x:v>
      </x:c>
      <x:c r="I229" s="103" t="str">
        <x:v>TOFU/MOFU</x:v>
      </x:c>
      <x:c r="J229" s="103" t="str">
        <x:v>How to Clean a Waffle Maker</x:v>
      </x:c>
      <x:c r="K229" s="103" t="str">
        <x:v>/how-to-clean-a-waffle-maker/</x:v>
      </x:c>
      <x:c r="L229" s="103" t="str">
        <x:v>Low/Medium — contextual product links only</x:v>
      </x:c>
      <x:c r="M229" s="103" t="str">
        <x:v>HowTo only when steps are visible and eligible; otherwise Article + BreadcrumbList</x:v>
      </x:c>
      <x:c r="N229" s="103" t="str">
        <x:v>1,200–2,000</x:v>
      </x:c>
      <x:c r="O229" s="103" t="str">
        <x:v>Primary-source/manual references where useful; calculations/examples; original explanation; safety caveats; no generic rewritten filler.</x:v>
      </x:c>
      <x:c r="P229" s="104" t="str">
        <x:v>Not Started</x:v>
      </x:c>
    </x:row>
  </x:sheetData>
  <x:conditionalFormatting sqref="P2:P229">
    <x:cfRule type="expression" dxfId="8" priority="1">
      <x:formula>$P2="Published"</x:formula>
    </x:cfRule>
    <x:cfRule type="expression" dxfId="9" priority="2">
      <x:formula>$P2="Writing"</x:formula>
    </x:cfRule>
    <x:cfRule type="expression" dxfId="10" priority="3">
      <x:formula>$P2="Editing"</x:formula>
    </x:cfRule>
    <x:cfRule type="expression" dxfId="11" priority="4">
      <x:formula>$P2="Blocked"</x:formula>
    </x:cfRule>
  </x:conditionalFormatting>
  <x:dataValidations count="2">
    <x:dataValidation type="list" sqref="C2:C229">
      <x:formula1>"P0,P1,P2,P3,P4"</x:formula1>
    </x:dataValidation>
    <x:dataValidation type="list" sqref="P2:P229">
      <x:formula1>"Not Started,Brief Ready,Writing,Editing,Published,Refreshing,Blocked"</x:formula1>
    </x:dataValidation>
  </x:dataValidations>
  <x:pageMargins left="0.7" right="0.7" top="0.75" bottom="0.75" header="0.3" footer="0.3"/>
  <x:tableParts count="1">
    <x:tablePart xmlns:r="http://schemas.openxmlformats.org/officeDocument/2006/relationships" r:id="R4eea65a0f9924584"/>
  </x:tableParts>
</x:worksheet>
</file>

<file path=xl/worksheets/sheet6.xml><?xml version="1.0" encoding="utf-8"?>
<x:worksheet xmlns:x="http://schemas.openxmlformats.org/spreadsheetml/2006/main">
  <x:sheetFormatPr defaultRowHeight="15"/>
  <x:cols>
    <x:col min="1" max="1" width="12" hidden="0" customWidth="1"/>
    <x:col min="2" max="2" width="9" hidden="0" customWidth="1"/>
    <x:col min="3" max="3" width="18" hidden="0" customWidth="1"/>
    <x:col min="4" max="4" width="19" hidden="0" customWidth="1"/>
    <x:col min="5" max="5" width="36" hidden="0" customWidth="1"/>
    <x:col min="6" max="6" width="68" hidden="0" customWidth="1"/>
    <x:col min="7" max="7" width="22" hidden="0" customWidth="1"/>
    <x:col min="8" max="8" width="12" hidden="0" customWidth="1"/>
    <x:col min="9" max="9" width="38" hidden="0" customWidth="1"/>
    <x:col min="10" max="10" width="16" hidden="0" customWidth="1"/>
    <x:col min="11" max="11" width="13" hidden="0" customWidth="1"/>
    <x:col min="12" max="12" width="11" hidden="0" customWidth="1"/>
    <x:col min="13" max="13" width="58" hidden="0" customWidth="1"/>
    <x:col min="14" max="14" width="35" hidden="0" customWidth="1"/>
    <x:col min="15" max="15" width="15" hidden="0" customWidth="1"/>
  </x:cols>
  <x:sheetData>
    <x:row r="1" ht="36" customHeight="1">
      <x:c r="A1" s="81" t="str">
        <x:v>Page ID</x:v>
      </x:c>
      <x:c r="B1" s="81" t="str">
        <x:v>Priority</x:v>
      </x:c>
      <x:c r="C1" s="81" t="str">
        <x:v>Cluster</x:v>
      </x:c>
      <x:c r="D1" s="81" t="str">
        <x:v>Page Type</x:v>
      </x:c>
      <x:c r="E1" s="81" t="str">
        <x:v>Primary Keyword</x:v>
      </x:c>
      <x:c r="F1" s="81" t="str">
        <x:v>Secondary / Semantic Keywords</x:v>
      </x:c>
      <x:c r="G1" s="81" t="str">
        <x:v>Intent</x:v>
      </x:c>
      <x:c r="H1" s="81" t="str">
        <x:v>Funnel</x:v>
      </x:c>
      <x:c r="I1" s="81" t="str">
        <x:v>Recommended URL</x:v>
      </x:c>
      <x:c r="J1" s="81" t="str">
        <x:v>Cannibalization Parent</x:v>
      </x:c>
      <x:c r="K1" s="81" t="str">
        <x:v>Live Volume</x:v>
      </x:c>
      <x:c r="L1" s="81" t="str">
        <x:v>Live KD</x:v>
      </x:c>
      <x:c r="M1" s="81" t="str">
        <x:v>SERP Opportunity Notes</x:v>
      </x:c>
      <x:c r="N1" s="81" t="str">
        <x:v>Product / ASIN Validation</x:v>
      </x:c>
      <x:c r="O1" s="81" t="str">
        <x:v>Status</x:v>
      </x:c>
    </x:row>
    <x:row r="2">
      <x:c r="A2" s="97" t="str">
        <x:v>AF-HUB</x:v>
      </x:c>
      <x:c r="B2" s="98" t="str">
        <x:v>P1</x:v>
      </x:c>
      <x:c r="C2" s="98" t="str">
        <x:v>Air Fryers</x:v>
      </x:c>
      <x:c r="D2" s="98" t="str">
        <x:v>Category Hub</x:v>
      </x:c>
      <x:c r="E2" s="98" t="str">
        <x:v>air fryer reviews and buying guides</x:v>
      </x:c>
      <x:c r="F2" s="98" t="str">
        <x:v>air fryer reviews and buying guides explained; air fryer reviews and buying guides guide; air fryer reviews and buying guides FAQ; air fryer reviews and buying guides tips; air fryer reviews and buying guides common mistakes</x:v>
      </x:c>
      <x:c r="G2" s="98" t="str">
        <x:v>Mixed</x:v>
      </x:c>
      <x:c r="H2" s="98" t="str">
        <x:v>MOFU</x:v>
      </x:c>
      <x:c r="I2" s="98" t="str">
        <x:v>/air-fryers/</x:v>
      </x:c>
      <x:c r="J2" s="98" t="str"/>
      <x:c r="K2" s="98" t="str"/>
      <x:c r="L2" s="98" t="str"/>
      <x:c r="M2" s="98" t="str">
        <x:v>Validate top 10 results, weak domains, content format, freshness and shopping features before briefing.</x:v>
      </x:c>
      <x:c r="N2" s="98" t="str">
        <x:v>Required for model-specific reviews and roundups</x:v>
      </x:c>
      <x:c r="O2" s="99" t="str">
        <x:v>Not Started</x:v>
      </x:c>
    </x:row>
    <x:row r="3">
      <x:c r="A3" s="100" t="str">
        <x:v>BL-HUB</x:v>
      </x:c>
      <x:c r="B3" s="95" t="str">
        <x:v>P1</x:v>
      </x:c>
      <x:c r="C3" s="95" t="str">
        <x:v>Blenders</x:v>
      </x:c>
      <x:c r="D3" s="95" t="str">
        <x:v>Category Hub</x:v>
      </x:c>
      <x:c r="E3" s="95" t="str">
        <x:v>blender reviews and buying guides</x:v>
      </x:c>
      <x:c r="F3" s="95" t="str">
        <x:v>blender reviews and buying guides explained; blender reviews and buying guides guide; blender reviews and buying guides FAQ; blender reviews and buying guides tips; blender reviews and buying guides common mistakes</x:v>
      </x:c>
      <x:c r="G3" s="95" t="str">
        <x:v>Mixed</x:v>
      </x:c>
      <x:c r="H3" s="95" t="str">
        <x:v>MOFU</x:v>
      </x:c>
      <x:c r="I3" s="95" t="str">
        <x:v>/blenders/</x:v>
      </x:c>
      <x:c r="J3" s="95" t="str"/>
      <x:c r="K3" s="95" t="str"/>
      <x:c r="L3" s="95" t="str"/>
      <x:c r="M3" s="95" t="str">
        <x:v>Validate top 10 results, weak domains, content format, freshness and shopping features before briefing.</x:v>
      </x:c>
      <x:c r="N3" s="95" t="str">
        <x:v>Required for model-specific reviews and roundups</x:v>
      </x:c>
      <x:c r="O3" s="101" t="str">
        <x:v>Not Started</x:v>
      </x:c>
    </x:row>
    <x:row r="4">
      <x:c r="A4" s="100" t="str">
        <x:v>AF-PIL</x:v>
      </x:c>
      <x:c r="B4" s="95" t="str">
        <x:v>P1</x:v>
      </x:c>
      <x:c r="C4" s="95" t="str">
        <x:v>Air Fryers</x:v>
      </x:c>
      <x:c r="D4" s="95" t="str">
        <x:v>Commercial Pillar</x:v>
      </x:c>
      <x:c r="E4" s="95" t="str">
        <x:v>best air fryers</x:v>
      </x:c>
      <x:c r="F4" s="95" t="str">
        <x:v>best air fryers reviews; best air fryers comparison; best air fryers buying guide; best air fryers for the money; top rated air fryers</x:v>
      </x:c>
      <x:c r="G4" s="95" t="str">
        <x:v>Commercial Investigation</x:v>
      </x:c>
      <x:c r="H4" s="95" t="str">
        <x:v>BOFU</x:v>
      </x:c>
      <x:c r="I4" s="95" t="str">
        <x:v>/best-air-fryers/</x:v>
      </x:c>
      <x:c r="J4" s="95" t="str">
        <x:v>AF-HUB</x:v>
      </x:c>
      <x:c r="K4" s="95" t="str"/>
      <x:c r="L4" s="95" t="str"/>
      <x:c r="M4" s="95" t="str">
        <x:v>Validate top 10 results, weak domains, content format, freshness and shopping features before briefing.</x:v>
      </x:c>
      <x:c r="N4" s="95" t="str">
        <x:v>Required for model-specific reviews and roundups</x:v>
      </x:c>
      <x:c r="O4" s="101" t="str">
        <x:v>Not Started</x:v>
      </x:c>
    </x:row>
    <x:row r="5">
      <x:c r="A5" s="100" t="str">
        <x:v>BL-PIL</x:v>
      </x:c>
      <x:c r="B5" s="95" t="str">
        <x:v>P1</x:v>
      </x:c>
      <x:c r="C5" s="95" t="str">
        <x:v>Blenders</x:v>
      </x:c>
      <x:c r="D5" s="95" t="str">
        <x:v>Commercial Pillar</x:v>
      </x:c>
      <x:c r="E5" s="95" t="str">
        <x:v>best blenders</x:v>
      </x:c>
      <x:c r="F5" s="95" t="str">
        <x:v>best blenders reviews; best blenders comparison; best blenders buying guide; best blenders for the money; top rated blenders</x:v>
      </x:c>
      <x:c r="G5" s="95" t="str">
        <x:v>Commercial Investigation</x:v>
      </x:c>
      <x:c r="H5" s="95" t="str">
        <x:v>BOFU</x:v>
      </x:c>
      <x:c r="I5" s="95" t="str">
        <x:v>/best-blenders/</x:v>
      </x:c>
      <x:c r="J5" s="95" t="str">
        <x:v>BL-HUB</x:v>
      </x:c>
      <x:c r="K5" s="95" t="str"/>
      <x:c r="L5" s="95" t="str"/>
      <x:c r="M5" s="95" t="str">
        <x:v>Validate top 10 results, weak domains, content format, freshness and shopping features before briefing.</x:v>
      </x:c>
      <x:c r="N5" s="95" t="str">
        <x:v>Required for model-specific reviews and roundups</x:v>
      </x:c>
      <x:c r="O5" s="101" t="str">
        <x:v>Not Started</x:v>
      </x:c>
    </x:row>
    <x:row r="6">
      <x:c r="A6" s="100" t="str">
        <x:v>AF-R01</x:v>
      </x:c>
      <x:c r="B6" s="95" t="str">
        <x:v>P1</x:v>
      </x:c>
      <x:c r="C6" s="95" t="str">
        <x:v>Air Fryers</x:v>
      </x:c>
      <x:c r="D6" s="95" t="str">
        <x:v>Roundup</x:v>
      </x:c>
      <x:c r="E6" s="95" t="str">
        <x:v>best air fryer under $100</x:v>
      </x:c>
      <x:c r="F6" s="95" t="str">
        <x:v>best air fryer under $100 reviews; best air fryer under $100 comparison; best air fryer under $100 buying guide; best air fryer under $100 for the money; top rated air fryer under $100</x:v>
      </x:c>
      <x:c r="G6" s="95" t="str">
        <x:v>Commercial Investigation</x:v>
      </x:c>
      <x:c r="H6" s="95" t="str">
        <x:v>BOFU</x:v>
      </x:c>
      <x:c r="I6" s="95" t="str">
        <x:v>/best-air-fryer-under-100/</x:v>
      </x:c>
      <x:c r="J6" s="95" t="str">
        <x:v>AF-PIL</x:v>
      </x:c>
      <x:c r="K6" s="95" t="str"/>
      <x:c r="L6" s="95" t="str"/>
      <x:c r="M6" s="95" t="str">
        <x:v>Validate top 10 results, weak domains, content format, freshness and shopping features before briefing.</x:v>
      </x:c>
      <x:c r="N6" s="95" t="str">
        <x:v>Required for model-specific reviews and roundups</x:v>
      </x:c>
      <x:c r="O6" s="101" t="str">
        <x:v>Not Started</x:v>
      </x:c>
    </x:row>
    <x:row r="7">
      <x:c r="A7" s="100" t="str">
        <x:v>AF-R02</x:v>
      </x:c>
      <x:c r="B7" s="95" t="str">
        <x:v>P1</x:v>
      </x:c>
      <x:c r="C7" s="95" t="str">
        <x:v>Air Fryers</x:v>
      </x:c>
      <x:c r="D7" s="95" t="str">
        <x:v>Roundup</x:v>
      </x:c>
      <x:c r="E7" s="95" t="str">
        <x:v>best air fryer under $150</x:v>
      </x:c>
      <x:c r="F7" s="95" t="str">
        <x:v>best air fryer under $150 reviews; best air fryer under $150 comparison; best air fryer under $150 buying guide; best air fryer under $150 for the money; top rated air fryer under $150</x:v>
      </x:c>
      <x:c r="G7" s="95" t="str">
        <x:v>Commercial Investigation</x:v>
      </x:c>
      <x:c r="H7" s="95" t="str">
        <x:v>BOFU</x:v>
      </x:c>
      <x:c r="I7" s="95" t="str">
        <x:v>/best-air-fryer-under-150/</x:v>
      </x:c>
      <x:c r="J7" s="95" t="str">
        <x:v>AF-PIL</x:v>
      </x:c>
      <x:c r="K7" s="95" t="str"/>
      <x:c r="L7" s="95" t="str"/>
      <x:c r="M7" s="95" t="str">
        <x:v>Validate top 10 results, weak domains, content format, freshness and shopping features before briefing.</x:v>
      </x:c>
      <x:c r="N7" s="95" t="str">
        <x:v>Required for model-specific reviews and roundups</x:v>
      </x:c>
      <x:c r="O7" s="101" t="str">
        <x:v>Not Started</x:v>
      </x:c>
    </x:row>
    <x:row r="8">
      <x:c r="A8" s="100" t="str">
        <x:v>AF-R03</x:v>
      </x:c>
      <x:c r="B8" s="95" t="str">
        <x:v>P1</x:v>
      </x:c>
      <x:c r="C8" s="95" t="str">
        <x:v>Air Fryers</x:v>
      </x:c>
      <x:c r="D8" s="95" t="str">
        <x:v>Roundup</x:v>
      </x:c>
      <x:c r="E8" s="95" t="str">
        <x:v>best air fryer for one person</x:v>
      </x:c>
      <x:c r="F8" s="95" t="str">
        <x:v>best air fryer for one person reviews; best air fryer for one person comparison; best air fryer for one person buying guide; best air fryer for one person for the money; top rated air fryer for one person</x:v>
      </x:c>
      <x:c r="G8" s="95" t="str">
        <x:v>Commercial Investigation</x:v>
      </x:c>
      <x:c r="H8" s="95" t="str">
        <x:v>BOFU</x:v>
      </x:c>
      <x:c r="I8" s="95" t="str">
        <x:v>/best-air-fryer-for-one-person/</x:v>
      </x:c>
      <x:c r="J8" s="95" t="str">
        <x:v>AF-PIL</x:v>
      </x:c>
      <x:c r="K8" s="95" t="str"/>
      <x:c r="L8" s="95" t="str"/>
      <x:c r="M8" s="95" t="str">
        <x:v>Validate top 10 results, weak domains, content format, freshness and shopping features before briefing.</x:v>
      </x:c>
      <x:c r="N8" s="95" t="str">
        <x:v>Required for model-specific reviews and roundups</x:v>
      </x:c>
      <x:c r="O8" s="101" t="str">
        <x:v>Not Started</x:v>
      </x:c>
    </x:row>
    <x:row r="9">
      <x:c r="A9" s="100" t="str">
        <x:v>AF-R04</x:v>
      </x:c>
      <x:c r="B9" s="95" t="str">
        <x:v>P1</x:v>
      </x:c>
      <x:c r="C9" s="95" t="str">
        <x:v>Air Fryers</x:v>
      </x:c>
      <x:c r="D9" s="95" t="str">
        <x:v>Roundup</x:v>
      </x:c>
      <x:c r="E9" s="95" t="str">
        <x:v>best air fryer for 2 people</x:v>
      </x:c>
      <x:c r="F9" s="95" t="str">
        <x:v>best air fryer for 2 people reviews; best air fryer for 2 people comparison; best air fryer for 2 people buying guide; best air fryer for 2 people for the money; top rated air fryer for 2 people</x:v>
      </x:c>
      <x:c r="G9" s="95" t="str">
        <x:v>Commercial Investigation</x:v>
      </x:c>
      <x:c r="H9" s="95" t="str">
        <x:v>BOFU</x:v>
      </x:c>
      <x:c r="I9" s="95" t="str">
        <x:v>/best-air-fryer-for-2-people/</x:v>
      </x:c>
      <x:c r="J9" s="95" t="str">
        <x:v>AF-PIL</x:v>
      </x:c>
      <x:c r="K9" s="95" t="str"/>
      <x:c r="L9" s="95" t="str"/>
      <x:c r="M9" s="95" t="str">
        <x:v>Validate top 10 results, weak domains, content format, freshness and shopping features before briefing.</x:v>
      </x:c>
      <x:c r="N9" s="95" t="str">
        <x:v>Required for model-specific reviews and roundups</x:v>
      </x:c>
      <x:c r="O9" s="101" t="str">
        <x:v>Not Started</x:v>
      </x:c>
    </x:row>
    <x:row r="10">
      <x:c r="A10" s="100" t="str">
        <x:v>AF-R05</x:v>
      </x:c>
      <x:c r="B10" s="95" t="str">
        <x:v>P1</x:v>
      </x:c>
      <x:c r="C10" s="95" t="str">
        <x:v>Air Fryers</x:v>
      </x:c>
      <x:c r="D10" s="95" t="str">
        <x:v>Roundup</x:v>
      </x:c>
      <x:c r="E10" s="95" t="str">
        <x:v>best air fryer for family of 4</x:v>
      </x:c>
      <x:c r="F10" s="95" t="str">
        <x:v>best air fryer for family of 4 reviews; best air fryer for family of 4 comparison; best air fryer for family of 4 buying guide; best air fryer for family of 4 for the money; top rated air fryer for family of 4</x:v>
      </x:c>
      <x:c r="G10" s="95" t="str">
        <x:v>Commercial Investigation</x:v>
      </x:c>
      <x:c r="H10" s="95" t="str">
        <x:v>BOFU</x:v>
      </x:c>
      <x:c r="I10" s="95" t="str">
        <x:v>/best-air-fryer-for-family-of-4/</x:v>
      </x:c>
      <x:c r="J10" s="95" t="str">
        <x:v>AF-PIL</x:v>
      </x:c>
      <x:c r="K10" s="95" t="str"/>
      <x:c r="L10" s="95" t="str"/>
      <x:c r="M10" s="95" t="str">
        <x:v>Validate top 10 results, weak domains, content format, freshness and shopping features before briefing.</x:v>
      </x:c>
      <x:c r="N10" s="95" t="str">
        <x:v>Required for model-specific reviews and roundups</x:v>
      </x:c>
      <x:c r="O10" s="101" t="str">
        <x:v>Not Started</x:v>
      </x:c>
    </x:row>
    <x:row r="11">
      <x:c r="A11" s="100" t="str">
        <x:v>AF-R06</x:v>
      </x:c>
      <x:c r="B11" s="95" t="str">
        <x:v>P1</x:v>
      </x:c>
      <x:c r="C11" s="95" t="str">
        <x:v>Air Fryers</x:v>
      </x:c>
      <x:c r="D11" s="95" t="str">
        <x:v>Roundup</x:v>
      </x:c>
      <x:c r="E11" s="95" t="str">
        <x:v>best large air fryer for family</x:v>
      </x:c>
      <x:c r="F11" s="95" t="str">
        <x:v>best large air fryer for family reviews; best large air fryer for family comparison; best large air fryer for family buying guide; best large air fryer for family for the money; top rated large air fryer for family</x:v>
      </x:c>
      <x:c r="G11" s="95" t="str">
        <x:v>Commercial Investigation</x:v>
      </x:c>
      <x:c r="H11" s="95" t="str">
        <x:v>BOFU</x:v>
      </x:c>
      <x:c r="I11" s="95" t="str">
        <x:v>/best-large-air-fryer-for-family/</x:v>
      </x:c>
      <x:c r="J11" s="95" t="str">
        <x:v>AF-PIL</x:v>
      </x:c>
      <x:c r="K11" s="95" t="str"/>
      <x:c r="L11" s="95" t="str"/>
      <x:c r="M11" s="95" t="str">
        <x:v>Validate top 10 results, weak domains, content format, freshness and shopping features before briefing.</x:v>
      </x:c>
      <x:c r="N11" s="95" t="str">
        <x:v>Required for model-specific reviews and roundups</x:v>
      </x:c>
      <x:c r="O11" s="101" t="str">
        <x:v>Not Started</x:v>
      </x:c>
    </x:row>
    <x:row r="12">
      <x:c r="A12" s="100" t="str">
        <x:v>AF-R07</x:v>
      </x:c>
      <x:c r="B12" s="95" t="str">
        <x:v>P1</x:v>
      </x:c>
      <x:c r="C12" s="95" t="str">
        <x:v>Air Fryers</x:v>
      </x:c>
      <x:c r="D12" s="95" t="str">
        <x:v>Roundup</x:v>
      </x:c>
      <x:c r="E12" s="95" t="str">
        <x:v>best compact air fryer</x:v>
      </x:c>
      <x:c r="F12" s="95" t="str">
        <x:v>best compact air fryer reviews; best compact air fryer comparison; best compact air fryer buying guide; best compact air fryer for the money; top rated compact air fryer</x:v>
      </x:c>
      <x:c r="G12" s="95" t="str">
        <x:v>Commercial Investigation</x:v>
      </x:c>
      <x:c r="H12" s="95" t="str">
        <x:v>BOFU</x:v>
      </x:c>
      <x:c r="I12" s="95" t="str">
        <x:v>/best-compact-air-fryer/</x:v>
      </x:c>
      <x:c r="J12" s="95" t="str">
        <x:v>AF-PIL</x:v>
      </x:c>
      <x:c r="K12" s="95" t="str"/>
      <x:c r="L12" s="95" t="str"/>
      <x:c r="M12" s="95" t="str">
        <x:v>Validate top 10 results, weak domains, content format, freshness and shopping features before briefing.</x:v>
      </x:c>
      <x:c r="N12" s="95" t="str">
        <x:v>Required for model-specific reviews and roundups</x:v>
      </x:c>
      <x:c r="O12" s="101" t="str">
        <x:v>Not Started</x:v>
      </x:c>
    </x:row>
    <x:row r="13">
      <x:c r="A13" s="100" t="str">
        <x:v>AF-R11</x:v>
      </x:c>
      <x:c r="B13" s="95" t="str">
        <x:v>P1</x:v>
      </x:c>
      <x:c r="C13" s="95" t="str">
        <x:v>Air Fryers</x:v>
      </x:c>
      <x:c r="D13" s="95" t="str">
        <x:v>Roundup</x:v>
      </x:c>
      <x:c r="E13" s="95" t="str">
        <x:v>best dual basket air fryer</x:v>
      </x:c>
      <x:c r="F13" s="95" t="str">
        <x:v>best dual basket air fryer reviews; best dual basket air fryer comparison; best dual basket air fryer buying guide; best dual basket air fryer for the money; top rated dual basket air fryer</x:v>
      </x:c>
      <x:c r="G13" s="95" t="str">
        <x:v>Commercial Investigation</x:v>
      </x:c>
      <x:c r="H13" s="95" t="str">
        <x:v>BOFU</x:v>
      </x:c>
      <x:c r="I13" s="95" t="str">
        <x:v>/best-dual-basket-air-fryer/</x:v>
      </x:c>
      <x:c r="J13" s="95" t="str">
        <x:v>AF-PIL</x:v>
      </x:c>
      <x:c r="K13" s="95" t="str"/>
      <x:c r="L13" s="95" t="str"/>
      <x:c r="M13" s="95" t="str">
        <x:v>Validate top 10 results, weak domains, content format, freshness and shopping features before briefing.</x:v>
      </x:c>
      <x:c r="N13" s="95" t="str">
        <x:v>Required for model-specific reviews and roundups</x:v>
      </x:c>
      <x:c r="O13" s="101" t="str">
        <x:v>Not Started</x:v>
      </x:c>
    </x:row>
    <x:row r="14">
      <x:c r="A14" s="100" t="str">
        <x:v>AF-R12</x:v>
      </x:c>
      <x:c r="B14" s="95" t="str">
        <x:v>P1</x:v>
      </x:c>
      <x:c r="C14" s="95" t="str">
        <x:v>Air Fryers</x:v>
      </x:c>
      <x:c r="D14" s="95" t="str">
        <x:v>Roundup</x:v>
      </x:c>
      <x:c r="E14" s="95" t="str">
        <x:v>best air fryer toaster oven combo</x:v>
      </x:c>
      <x:c r="F14" s="95" t="str">
        <x:v>best air fryer toaster oven combo reviews; best air fryer toaster oven combo comparison; best air fryer toaster oven combo buying guide; best air fryer toaster oven combo for the money; top rated air fryer toaster oven combo</x:v>
      </x:c>
      <x:c r="G14" s="95" t="str">
        <x:v>Commercial Investigation</x:v>
      </x:c>
      <x:c r="H14" s="95" t="str">
        <x:v>BOFU</x:v>
      </x:c>
      <x:c r="I14" s="95" t="str">
        <x:v>/best-air-fryer-toaster-oven-combo/</x:v>
      </x:c>
      <x:c r="J14" s="95" t="str">
        <x:v>AF-PIL</x:v>
      </x:c>
      <x:c r="K14" s="95" t="str"/>
      <x:c r="L14" s="95" t="str"/>
      <x:c r="M14" s="95" t="str">
        <x:v>Validate top 10 results, weak domains, content format, freshness and shopping features before briefing.</x:v>
      </x:c>
      <x:c r="N14" s="95" t="str">
        <x:v>Required for model-specific reviews and roundups</x:v>
      </x:c>
      <x:c r="O14" s="101" t="str">
        <x:v>Not Started</x:v>
      </x:c>
    </x:row>
    <x:row r="15">
      <x:c r="A15" s="100" t="str">
        <x:v>BL-R01</x:v>
      </x:c>
      <x:c r="B15" s="95" t="str">
        <x:v>P1</x:v>
      </x:c>
      <x:c r="C15" s="95" t="str">
        <x:v>Blenders</x:v>
      </x:c>
      <x:c r="D15" s="95" t="str">
        <x:v>Roundup</x:v>
      </x:c>
      <x:c r="E15" s="95" t="str">
        <x:v>best blender under $100</x:v>
      </x:c>
      <x:c r="F15" s="95" t="str">
        <x:v>best blender under $100 reviews; best blender under $100 comparison; best blender under $100 buying guide; best blender under $100 for the money; top rated blender under $100</x:v>
      </x:c>
      <x:c r="G15" s="95" t="str">
        <x:v>Commercial Investigation</x:v>
      </x:c>
      <x:c r="H15" s="95" t="str">
        <x:v>BOFU</x:v>
      </x:c>
      <x:c r="I15" s="95" t="str">
        <x:v>/best-blender-under-100/</x:v>
      </x:c>
      <x:c r="J15" s="95" t="str">
        <x:v>BL-PIL</x:v>
      </x:c>
      <x:c r="K15" s="95" t="str"/>
      <x:c r="L15" s="95" t="str"/>
      <x:c r="M15" s="95" t="str">
        <x:v>Validate top 10 results, weak domains, content format, freshness and shopping features before briefing.</x:v>
      </x:c>
      <x:c r="N15" s="95" t="str">
        <x:v>Required for model-specific reviews and roundups</x:v>
      </x:c>
      <x:c r="O15" s="101" t="str">
        <x:v>Not Started</x:v>
      </x:c>
    </x:row>
    <x:row r="16">
      <x:c r="A16" s="100" t="str">
        <x:v>BL-R03</x:v>
      </x:c>
      <x:c r="B16" s="95" t="str">
        <x:v>P1</x:v>
      </x:c>
      <x:c r="C16" s="95" t="str">
        <x:v>Blenders</x:v>
      </x:c>
      <x:c r="D16" s="95" t="str">
        <x:v>Roundup</x:v>
      </x:c>
      <x:c r="E16" s="95" t="str">
        <x:v>best personal blender</x:v>
      </x:c>
      <x:c r="F16" s="95" t="str">
        <x:v>best personal blender reviews; best personal blender comparison; best personal blender buying guide; best personal blender for the money; top rated personal blender</x:v>
      </x:c>
      <x:c r="G16" s="95" t="str">
        <x:v>Commercial Investigation</x:v>
      </x:c>
      <x:c r="H16" s="95" t="str">
        <x:v>BOFU</x:v>
      </x:c>
      <x:c r="I16" s="95" t="str">
        <x:v>/best-personal-blender/</x:v>
      </x:c>
      <x:c r="J16" s="95" t="str">
        <x:v>BL-PIL</x:v>
      </x:c>
      <x:c r="K16" s="95" t="str"/>
      <x:c r="L16" s="95" t="str"/>
      <x:c r="M16" s="95" t="str">
        <x:v>Validate top 10 results, weak domains, content format, freshness and shopping features before briefing.</x:v>
      </x:c>
      <x:c r="N16" s="95" t="str">
        <x:v>Required for model-specific reviews and roundups</x:v>
      </x:c>
      <x:c r="O16" s="101" t="str">
        <x:v>Not Started</x:v>
      </x:c>
    </x:row>
    <x:row r="17">
      <x:c r="A17" s="100" t="str">
        <x:v>BL-R04</x:v>
      </x:c>
      <x:c r="B17" s="95" t="str">
        <x:v>P1</x:v>
      </x:c>
      <x:c r="C17" s="95" t="str">
        <x:v>Blenders</x:v>
      </x:c>
      <x:c r="D17" s="95" t="str">
        <x:v>Roundup</x:v>
      </x:c>
      <x:c r="E17" s="95" t="str">
        <x:v>best blender for smoothies</x:v>
      </x:c>
      <x:c r="F17" s="95" t="str">
        <x:v>best blender for smoothies reviews; best blender for smoothies comparison; best blender for smoothies buying guide; best blender for smoothies for the money; top rated blender for smoothies</x:v>
      </x:c>
      <x:c r="G17" s="95" t="str">
        <x:v>Commercial Investigation</x:v>
      </x:c>
      <x:c r="H17" s="95" t="str">
        <x:v>BOFU</x:v>
      </x:c>
      <x:c r="I17" s="95" t="str">
        <x:v>/best-blender-for-smoothies/</x:v>
      </x:c>
      <x:c r="J17" s="95" t="str">
        <x:v>BL-PIL</x:v>
      </x:c>
      <x:c r="K17" s="95" t="str"/>
      <x:c r="L17" s="95" t="str"/>
      <x:c r="M17" s="95" t="str">
        <x:v>Validate top 10 results, weak domains, content format, freshness and shopping features before briefing.</x:v>
      </x:c>
      <x:c r="N17" s="95" t="str">
        <x:v>Required for model-specific reviews and roundups</x:v>
      </x:c>
      <x:c r="O17" s="101" t="str">
        <x:v>Not Started</x:v>
      </x:c>
    </x:row>
    <x:row r="18">
      <x:c r="A18" s="100" t="str">
        <x:v>BL-R05</x:v>
      </x:c>
      <x:c r="B18" s="95" t="str">
        <x:v>P1</x:v>
      </x:c>
      <x:c r="C18" s="95" t="str">
        <x:v>Blenders</x:v>
      </x:c>
      <x:c r="D18" s="95" t="str">
        <x:v>Roundup</x:v>
      </x:c>
      <x:c r="E18" s="95" t="str">
        <x:v>best blender for frozen fruit</x:v>
      </x:c>
      <x:c r="F18" s="95" t="str">
        <x:v>best blender for frozen fruit reviews; best blender for frozen fruit comparison; best blender for frozen fruit buying guide; best blender for frozen fruit for the money; top rated blender for frozen fruit</x:v>
      </x:c>
      <x:c r="G18" s="95" t="str">
        <x:v>Commercial Investigation</x:v>
      </x:c>
      <x:c r="H18" s="95" t="str">
        <x:v>BOFU</x:v>
      </x:c>
      <x:c r="I18" s="95" t="str">
        <x:v>/best-blender-for-frozen-fruit/</x:v>
      </x:c>
      <x:c r="J18" s="95" t="str">
        <x:v>BL-PIL</x:v>
      </x:c>
      <x:c r="K18" s="95" t="str"/>
      <x:c r="L18" s="95" t="str"/>
      <x:c r="M18" s="95" t="str">
        <x:v>Validate top 10 results, weak domains, content format, freshness and shopping features before briefing.</x:v>
      </x:c>
      <x:c r="N18" s="95" t="str">
        <x:v>Required for model-specific reviews and roundups</x:v>
      </x:c>
      <x:c r="O18" s="101" t="str">
        <x:v>Not Started</x:v>
      </x:c>
    </x:row>
    <x:row r="19">
      <x:c r="A19" s="100" t="str">
        <x:v>BL-R06</x:v>
      </x:c>
      <x:c r="B19" s="95" t="str">
        <x:v>P1</x:v>
      </x:c>
      <x:c r="C19" s="95" t="str">
        <x:v>Blenders</x:v>
      </x:c>
      <x:c r="D19" s="95" t="str">
        <x:v>Roundup</x:v>
      </x:c>
      <x:c r="E19" s="95" t="str">
        <x:v>best blender for crushing ice</x:v>
      </x:c>
      <x:c r="F19" s="95" t="str">
        <x:v>best blender for crushing ice reviews; best blender for crushing ice comparison; best blender for crushing ice buying guide; best blender for crushing ice for the money; top rated blender for crushing ice</x:v>
      </x:c>
      <x:c r="G19" s="95" t="str">
        <x:v>Commercial Investigation</x:v>
      </x:c>
      <x:c r="H19" s="95" t="str">
        <x:v>BOFU</x:v>
      </x:c>
      <x:c r="I19" s="95" t="str">
        <x:v>/best-blender-for-crushing-ice/</x:v>
      </x:c>
      <x:c r="J19" s="95" t="str">
        <x:v>BL-PIL</x:v>
      </x:c>
      <x:c r="K19" s="95" t="str"/>
      <x:c r="L19" s="95" t="str"/>
      <x:c r="M19" s="95" t="str">
        <x:v>Validate top 10 results, weak domains, content format, freshness and shopping features before briefing.</x:v>
      </x:c>
      <x:c r="N19" s="95" t="str">
        <x:v>Required for model-specific reviews and roundups</x:v>
      </x:c>
      <x:c r="O19" s="101" t="str">
        <x:v>Not Started</x:v>
      </x:c>
    </x:row>
    <x:row r="20">
      <x:c r="A20" s="100" t="str">
        <x:v>AF-C01</x:v>
      </x:c>
      <x:c r="B20" s="95" t="str">
        <x:v>P1</x:v>
      </x:c>
      <x:c r="C20" s="95" t="str">
        <x:v>Air Fryers</x:v>
      </x:c>
      <x:c r="D20" s="95" t="str">
        <x:v>Comparison</x:v>
      </x:c>
      <x:c r="E20" s="95" t="str">
        <x:v>ninja vs cosori air fryer</x:v>
      </x:c>
      <x:c r="F20" s="95" t="str">
        <x:v>ninja vs cosori air fryer differences; ninja vs cosori air fryer which is better; ninja vs cosori air fryer performance; ninja vs cosori air fryer price; ninja vs cosori air fryer pros and cons</x:v>
      </x:c>
      <x:c r="G20" s="95" t="str">
        <x:v>Commercial Investigation</x:v>
      </x:c>
      <x:c r="H20" s="95" t="str">
        <x:v>BOFU</x:v>
      </x:c>
      <x:c r="I20" s="95" t="str">
        <x:v>/ninja-vs-cosori-air-fryer/</x:v>
      </x:c>
      <x:c r="J20" s="95" t="str">
        <x:v>AF-PIL</x:v>
      </x:c>
      <x:c r="K20" s="95" t="str"/>
      <x:c r="L20" s="95" t="str"/>
      <x:c r="M20" s="95" t="str">
        <x:v>Validate top 10 results, weak domains, content format, freshness and shopping features before briefing.</x:v>
      </x:c>
      <x:c r="N20" s="95" t="str">
        <x:v>Required for model-specific reviews and roundups</x:v>
      </x:c>
      <x:c r="O20" s="101" t="str">
        <x:v>Not Started</x:v>
      </x:c>
    </x:row>
    <x:row r="21">
      <x:c r="A21" s="100" t="str">
        <x:v>AF-C03</x:v>
      </x:c>
      <x:c r="B21" s="95" t="str">
        <x:v>P1</x:v>
      </x:c>
      <x:c r="C21" s="95" t="str">
        <x:v>Air Fryers</x:v>
      </x:c>
      <x:c r="D21" s="95" t="str">
        <x:v>Comparison</x:v>
      </x:c>
      <x:c r="E21" s="95" t="str">
        <x:v>basket air fryer vs oven air fryer</x:v>
      </x:c>
      <x:c r="F21" s="95" t="str">
        <x:v>basket air fryer vs oven air fryer differences; basket air fryer vs oven air fryer which is better; basket air fryer vs oven air fryer performance; basket air fryer vs oven air fryer price; basket air fryer vs oven air fryer pros and cons</x:v>
      </x:c>
      <x:c r="G21" s="95" t="str">
        <x:v>Commercial Investigation</x:v>
      </x:c>
      <x:c r="H21" s="95" t="str">
        <x:v>BOFU</x:v>
      </x:c>
      <x:c r="I21" s="95" t="str">
        <x:v>/basket-air-fryer-vs-oven-air-fryer/</x:v>
      </x:c>
      <x:c r="J21" s="95" t="str">
        <x:v>AF-PIL</x:v>
      </x:c>
      <x:c r="K21" s="95" t="str"/>
      <x:c r="L21" s="95" t="str"/>
      <x:c r="M21" s="95" t="str">
        <x:v>Validate top 10 results, weak domains, content format, freshness and shopping features before briefing.</x:v>
      </x:c>
      <x:c r="N21" s="95" t="str">
        <x:v>Required for model-specific reviews and roundups</x:v>
      </x:c>
      <x:c r="O21" s="101" t="str">
        <x:v>Not Started</x:v>
      </x:c>
    </x:row>
    <x:row r="22">
      <x:c r="A22" s="100" t="str">
        <x:v>BL-C01</x:v>
      </x:c>
      <x:c r="B22" s="95" t="str">
        <x:v>P1</x:v>
      </x:c>
      <x:c r="C22" s="95" t="str">
        <x:v>Blenders</x:v>
      </x:c>
      <x:c r="D22" s="95" t="str">
        <x:v>Comparison</x:v>
      </x:c>
      <x:c r="E22" s="95" t="str">
        <x:v>vitamix vs ninja blender</x:v>
      </x:c>
      <x:c r="F22" s="95" t="str">
        <x:v>vitamix vs ninja blender differences; vitamix vs ninja blender which is better; vitamix vs ninja blender performance; vitamix vs ninja blender price; vitamix vs ninja blender pros and cons</x:v>
      </x:c>
      <x:c r="G22" s="95" t="str">
        <x:v>Commercial Investigation</x:v>
      </x:c>
      <x:c r="H22" s="95" t="str">
        <x:v>BOFU</x:v>
      </x:c>
      <x:c r="I22" s="95" t="str">
        <x:v>/vitamix-vs-ninja-blender/</x:v>
      </x:c>
      <x:c r="J22" s="95" t="str">
        <x:v>BL-PIL</x:v>
      </x:c>
      <x:c r="K22" s="95" t="str"/>
      <x:c r="L22" s="95" t="str"/>
      <x:c r="M22" s="95" t="str">
        <x:v>Validate top 10 results, weak domains, content format, freshness and shopping features before briefing.</x:v>
      </x:c>
      <x:c r="N22" s="95" t="str">
        <x:v>Required for model-specific reviews and roundups</x:v>
      </x:c>
      <x:c r="O22" s="101" t="str">
        <x:v>Not Started</x:v>
      </x:c>
    </x:row>
    <x:row r="23">
      <x:c r="A23" s="100" t="str">
        <x:v>BL-C02</x:v>
      </x:c>
      <x:c r="B23" s="95" t="str">
        <x:v>P1</x:v>
      </x:c>
      <x:c r="C23" s="95" t="str">
        <x:v>Blenders</x:v>
      </x:c>
      <x:c r="D23" s="95" t="str">
        <x:v>Comparison</x:v>
      </x:c>
      <x:c r="E23" s="95" t="str">
        <x:v>ninja vs nutribullet</x:v>
      </x:c>
      <x:c r="F23" s="95" t="str">
        <x:v>ninja vs nutribullet differences; ninja vs nutribullet which is better; ninja vs nutribullet performance; ninja vs nutribullet price; ninja vs nutribullet pros and cons</x:v>
      </x:c>
      <x:c r="G23" s="95" t="str">
        <x:v>Commercial Investigation</x:v>
      </x:c>
      <x:c r="H23" s="95" t="str">
        <x:v>BOFU</x:v>
      </x:c>
      <x:c r="I23" s="95" t="str">
        <x:v>/ninja-vs-nutribullet/</x:v>
      </x:c>
      <x:c r="J23" s="95" t="str">
        <x:v>BL-PIL</x:v>
      </x:c>
      <x:c r="K23" s="95" t="str"/>
      <x:c r="L23" s="95" t="str"/>
      <x:c r="M23" s="95" t="str">
        <x:v>Validate top 10 results, weak domains, content format, freshness and shopping features before briefing.</x:v>
      </x:c>
      <x:c r="N23" s="95" t="str">
        <x:v>Required for model-specific reviews and roundups</x:v>
      </x:c>
      <x:c r="O23" s="101" t="str">
        <x:v>Not Started</x:v>
      </x:c>
    </x:row>
    <x:row r="24">
      <x:c r="A24" s="100" t="str">
        <x:v>BL-C06</x:v>
      </x:c>
      <x:c r="B24" s="95" t="str">
        <x:v>P1</x:v>
      </x:c>
      <x:c r="C24" s="95" t="str">
        <x:v>Blenders</x:v>
      </x:c>
      <x:c r="D24" s="95" t="str">
        <x:v>Comparison</x:v>
      </x:c>
      <x:c r="E24" s="95" t="str">
        <x:v>blender vs food processor</x:v>
      </x:c>
      <x:c r="F24" s="95" t="str">
        <x:v>blender vs food processor differences; blender vs food processor which is better; blender vs food processor performance; blender vs food processor price; blender vs food processor pros and cons</x:v>
      </x:c>
      <x:c r="G24" s="95" t="str">
        <x:v>Commercial Investigation</x:v>
      </x:c>
      <x:c r="H24" s="95" t="str">
        <x:v>BOFU</x:v>
      </x:c>
      <x:c r="I24" s="95" t="str">
        <x:v>/blender-vs-food-processor/</x:v>
      </x:c>
      <x:c r="J24" s="95" t="str">
        <x:v>BL-PIL</x:v>
      </x:c>
      <x:c r="K24" s="95" t="str"/>
      <x:c r="L24" s="95" t="str"/>
      <x:c r="M24" s="95" t="str">
        <x:v>Validate top 10 results, weak domains, content format, freshness and shopping features before briefing.</x:v>
      </x:c>
      <x:c r="N24" s="95" t="str">
        <x:v>Required for model-specific reviews and roundups</x:v>
      </x:c>
      <x:c r="O24" s="101" t="str">
        <x:v>Not Started</x:v>
      </x:c>
    </x:row>
    <x:row r="25">
      <x:c r="A25" s="100" t="str">
        <x:v>AF-V01</x:v>
      </x:c>
      <x:c r="B25" s="95" t="str">
        <x:v>P1</x:v>
      </x:c>
      <x:c r="C25" s="95" t="str">
        <x:v>Air Fryers</x:v>
      </x:c>
      <x:c r="D25" s="95" t="str">
        <x:v>Single Review</x:v>
      </x:c>
      <x:c r="E25" s="95" t="str">
        <x:v>ninja air fryer pro review</x:v>
      </x:c>
      <x:c r="F25" s="95" t="str">
        <x:v>ninja air fryer pro pros and cons; is ninja air fryer pro worth it; ninja air fryer pro alternatives; ninja air fryer pro performance; ninja air fryer pro specifications</x:v>
      </x:c>
      <x:c r="G25" s="95" t="str">
        <x:v>Commercial Investigation</x:v>
      </x:c>
      <x:c r="H25" s="95" t="str">
        <x:v>BOFU</x:v>
      </x:c>
      <x:c r="I25" s="95" t="str">
        <x:v>/ninja-air-fryer-pro-review/</x:v>
      </x:c>
      <x:c r="J25" s="95" t="str">
        <x:v>AF-PIL</x:v>
      </x:c>
      <x:c r="K25" s="95" t="str"/>
      <x:c r="L25" s="95" t="str"/>
      <x:c r="M25" s="95" t="str">
        <x:v>Validate top 10 results, weak domains, content format, freshness and shopping features before briefing.</x:v>
      </x:c>
      <x:c r="N25" s="95" t="str">
        <x:v>Required for model-specific reviews and roundups</x:v>
      </x:c>
      <x:c r="O25" s="101" t="str">
        <x:v>Not Started</x:v>
      </x:c>
    </x:row>
    <x:row r="26">
      <x:c r="A26" s="100" t="str">
        <x:v>AF-V02</x:v>
      </x:c>
      <x:c r="B26" s="95" t="str">
        <x:v>P1</x:v>
      </x:c>
      <x:c r="C26" s="95" t="str">
        <x:v>Air Fryers</x:v>
      </x:c>
      <x:c r="D26" s="95" t="str">
        <x:v>Single Review</x:v>
      </x:c>
      <x:c r="E26" s="95" t="str">
        <x:v>cosori turboblaze air fryer review</x:v>
      </x:c>
      <x:c r="F26" s="95" t="str">
        <x:v>cosori turboblaze air fryer pros and cons; is cosori turboblaze air fryer worth it; cosori turboblaze air fryer alternatives; cosori turboblaze air fryer performance; cosori turboblaze air fryer specifications</x:v>
      </x:c>
      <x:c r="G26" s="95" t="str">
        <x:v>Commercial Investigation</x:v>
      </x:c>
      <x:c r="H26" s="95" t="str">
        <x:v>BOFU</x:v>
      </x:c>
      <x:c r="I26" s="95" t="str">
        <x:v>/cosori-turboblaze-air-fryer-review/</x:v>
      </x:c>
      <x:c r="J26" s="95" t="str">
        <x:v>AF-PIL</x:v>
      </x:c>
      <x:c r="K26" s="95" t="str"/>
      <x:c r="L26" s="95" t="str"/>
      <x:c r="M26" s="95" t="str">
        <x:v>Validate top 10 results, weak domains, content format, freshness and shopping features before briefing.</x:v>
      </x:c>
      <x:c r="N26" s="95" t="str">
        <x:v>Required for model-specific reviews and roundups</x:v>
      </x:c>
      <x:c r="O26" s="101" t="str">
        <x:v>Not Started</x:v>
      </x:c>
    </x:row>
    <x:row r="27">
      <x:c r="A27" s="100" t="str">
        <x:v>BL-V01</x:v>
      </x:c>
      <x:c r="B27" s="95" t="str">
        <x:v>P1</x:v>
      </x:c>
      <x:c r="C27" s="95" t="str">
        <x:v>Blenders</x:v>
      </x:c>
      <x:c r="D27" s="95" t="str">
        <x:v>Single Review</x:v>
      </x:c>
      <x:c r="E27" s="95" t="str">
        <x:v>ninja detect power blender pro review</x:v>
      </x:c>
      <x:c r="F27" s="95" t="str">
        <x:v>ninja detect power blender pro pros and cons; is ninja detect power blender pro worth it; ninja detect power blender pro alternatives; ninja detect power blender pro performance; ninja detect power blender pro specifications</x:v>
      </x:c>
      <x:c r="G27" s="95" t="str">
        <x:v>Commercial Investigation</x:v>
      </x:c>
      <x:c r="H27" s="95" t="str">
        <x:v>BOFU</x:v>
      </x:c>
      <x:c r="I27" s="95" t="str">
        <x:v>/ninja-detect-power-blender-pro-review/</x:v>
      </x:c>
      <x:c r="J27" s="95" t="str">
        <x:v>BL-PIL</x:v>
      </x:c>
      <x:c r="K27" s="95" t="str"/>
      <x:c r="L27" s="95" t="str"/>
      <x:c r="M27" s="95" t="str">
        <x:v>Validate top 10 results, weak domains, content format, freshness and shopping features before briefing.</x:v>
      </x:c>
      <x:c r="N27" s="95" t="str">
        <x:v>Required for model-specific reviews and roundups</x:v>
      </x:c>
      <x:c r="O27" s="101" t="str">
        <x:v>Not Started</x:v>
      </x:c>
    </x:row>
    <x:row r="28">
      <x:c r="A28" s="100" t="str">
        <x:v>BL-V02</x:v>
      </x:c>
      <x:c r="B28" s="95" t="str">
        <x:v>P1</x:v>
      </x:c>
      <x:c r="C28" s="95" t="str">
        <x:v>Blenders</x:v>
      </x:c>
      <x:c r="D28" s="95" t="str">
        <x:v>Single Review</x:v>
      </x:c>
      <x:c r="E28" s="95" t="str">
        <x:v>nutribullet pro 900 review</x:v>
      </x:c>
      <x:c r="F28" s="95" t="str">
        <x:v>nutribullet pro 900 pros and cons; is nutribullet pro 900 worth it; nutribullet pro 900 alternatives; nutribullet pro 900 performance; nutribullet pro 900 specifications</x:v>
      </x:c>
      <x:c r="G28" s="95" t="str">
        <x:v>Commercial Investigation</x:v>
      </x:c>
      <x:c r="H28" s="95" t="str">
        <x:v>BOFU</x:v>
      </x:c>
      <x:c r="I28" s="95" t="str">
        <x:v>/nutribullet-pro-900-review/</x:v>
      </x:c>
      <x:c r="J28" s="95" t="str">
        <x:v>BL-PIL</x:v>
      </x:c>
      <x:c r="K28" s="95" t="str"/>
      <x:c r="L28" s="95" t="str"/>
      <x:c r="M28" s="95" t="str">
        <x:v>Validate top 10 results, weak domains, content format, freshness and shopping features before briefing.</x:v>
      </x:c>
      <x:c r="N28" s="95" t="str">
        <x:v>Required for model-specific reviews and roundups</x:v>
      </x:c>
      <x:c r="O28" s="101" t="str">
        <x:v>Not Started</x:v>
      </x:c>
    </x:row>
    <x:row r="29">
      <x:c r="A29" s="100" t="str">
        <x:v>AF-G01</x:v>
      </x:c>
      <x:c r="B29" s="95" t="str">
        <x:v>P1</x:v>
      </x:c>
      <x:c r="C29" s="95" t="str">
        <x:v>Air Fryers</x:v>
      </x:c>
      <x:c r="D29" s="95" t="str">
        <x:v>Buying Guide</x:v>
      </x:c>
      <x:c r="E29" s="95" t="str">
        <x:v>air fryer buying guide</x:v>
      </x:c>
      <x:c r="F29" s="95" t="str">
        <x:v>how to choose air fryer; air fryer buying guide features; air fryer buying guide size; air fryer buying guide wattage; air fryer buying guide checklist</x:v>
      </x:c>
      <x:c r="G29" s="95" t="str">
        <x:v>Informational</x:v>
      </x:c>
      <x:c r="H29" s="95" t="str">
        <x:v>TOFU/MOFU</x:v>
      </x:c>
      <x:c r="I29" s="95" t="str">
        <x:v>/air-fryer-buying-guide/</x:v>
      </x:c>
      <x:c r="J29" s="95" t="str">
        <x:v>AF-HUB</x:v>
      </x:c>
      <x:c r="K29" s="95" t="str"/>
      <x:c r="L29" s="95" t="str"/>
      <x:c r="M29" s="95" t="str">
        <x:v>Validate top 10 results, weak domains, content format, freshness and shopping features before briefing.</x:v>
      </x:c>
      <x:c r="N29" s="95" t="str">
        <x:v>Required for model-specific reviews and roundups</x:v>
      </x:c>
      <x:c r="O29" s="101" t="str">
        <x:v>Not Started</x:v>
      </x:c>
    </x:row>
    <x:row r="30">
      <x:c r="A30" s="100" t="str">
        <x:v>BL-G01</x:v>
      </x:c>
      <x:c r="B30" s="95" t="str">
        <x:v>P1</x:v>
      </x:c>
      <x:c r="C30" s="95" t="str">
        <x:v>Blenders</x:v>
      </x:c>
      <x:c r="D30" s="95" t="str">
        <x:v>Buying Guide</x:v>
      </x:c>
      <x:c r="E30" s="95" t="str">
        <x:v>blender buying guide</x:v>
      </x:c>
      <x:c r="F30" s="95" t="str">
        <x:v>how to choose blender; blender buying guide features; blender buying guide size; blender buying guide wattage; blender buying guide checklist</x:v>
      </x:c>
      <x:c r="G30" s="95" t="str">
        <x:v>Informational</x:v>
      </x:c>
      <x:c r="H30" s="95" t="str">
        <x:v>TOFU/MOFU</x:v>
      </x:c>
      <x:c r="I30" s="95" t="str">
        <x:v>/blender-buying-guide/</x:v>
      </x:c>
      <x:c r="J30" s="95" t="str">
        <x:v>BL-HUB</x:v>
      </x:c>
      <x:c r="K30" s="95" t="str"/>
      <x:c r="L30" s="95" t="str"/>
      <x:c r="M30" s="95" t="str">
        <x:v>Validate top 10 results, weak domains, content format, freshness and shopping features before briefing.</x:v>
      </x:c>
      <x:c r="N30" s="95" t="str">
        <x:v>Required for model-specific reviews and roundups</x:v>
      </x:c>
      <x:c r="O30" s="101" t="str">
        <x:v>Not Started</x:v>
      </x:c>
    </x:row>
    <x:row r="31">
      <x:c r="A31" s="100" t="str">
        <x:v>CC-G01</x:v>
      </x:c>
      <x:c r="B31" s="95" t="str">
        <x:v>P1</x:v>
      </x:c>
      <x:c r="C31" s="95" t="str">
        <x:v>Cross-Category</x:v>
      </x:c>
      <x:c r="D31" s="95" t="str">
        <x:v>Buying Guide</x:v>
      </x:c>
      <x:c r="E31" s="95" t="str">
        <x:v>how we test kitchen appliances</x:v>
      </x:c>
      <x:c r="F31" s="95" t="str">
        <x:v>how to choose how we test kitchen appliances; how we test kitchen appliances features; how we test kitchen appliances size; how we test kitchen appliances wattage; how we test kitchen appliances checklist</x:v>
      </x:c>
      <x:c r="G31" s="95" t="str">
        <x:v>Informational</x:v>
      </x:c>
      <x:c r="H31" s="95" t="str">
        <x:v>TOFU/MOFU</x:v>
      </x:c>
      <x:c r="I31" s="95" t="str">
        <x:v>/how-we-test/</x:v>
      </x:c>
      <x:c r="J31" s="95" t="str"/>
      <x:c r="K31" s="95" t="str"/>
      <x:c r="L31" s="95" t="str"/>
      <x:c r="M31" s="95" t="str">
        <x:v>Validate top 10 results, weak domains, content format, freshness and shopping features before briefing.</x:v>
      </x:c>
      <x:c r="N31" s="95" t="str">
        <x:v>Required for model-specific reviews and roundups</x:v>
      </x:c>
      <x:c r="O31" s="101" t="str">
        <x:v>Not Started</x:v>
      </x:c>
    </x:row>
    <x:row r="32">
      <x:c r="A32" s="100" t="str">
        <x:v>AF-G02</x:v>
      </x:c>
      <x:c r="B32" s="95" t="str">
        <x:v>P1</x:v>
      </x:c>
      <x:c r="C32" s="95" t="str">
        <x:v>Air Fryers</x:v>
      </x:c>
      <x:c r="D32" s="95" t="str">
        <x:v>Informational</x:v>
      </x:c>
      <x:c r="E32" s="95" t="str">
        <x:v>what size air fryer do i need</x:v>
      </x:c>
      <x:c r="F32" s="95" t="str">
        <x:v>what size air fryer do i need explained; what size air fryer do i need guide; what size air fryer do i need FAQ; what size air fryer do i need tips; what size air fryer do i need common mistakes</x:v>
      </x:c>
      <x:c r="G32" s="95" t="str">
        <x:v>Informational</x:v>
      </x:c>
      <x:c r="H32" s="95" t="str">
        <x:v>TOFU/MOFU</x:v>
      </x:c>
      <x:c r="I32" s="95" t="str">
        <x:v>/what-size-air-fryer-do-i-need/</x:v>
      </x:c>
      <x:c r="J32" s="95" t="str">
        <x:v>AF-HUB</x:v>
      </x:c>
      <x:c r="K32" s="95" t="str"/>
      <x:c r="L32" s="95" t="str"/>
      <x:c r="M32" s="95" t="str">
        <x:v>Validate top 10 results, weak domains, content format, freshness and shopping features before briefing.</x:v>
      </x:c>
      <x:c r="N32" s="95" t="str">
        <x:v>Required for model-specific reviews and roundups</x:v>
      </x:c>
      <x:c r="O32" s="101" t="str">
        <x:v>Not Started</x:v>
      </x:c>
    </x:row>
    <x:row r="33">
      <x:c r="A33" s="100" t="str">
        <x:v>CC-G02</x:v>
      </x:c>
      <x:c r="B33" s="95" t="str">
        <x:v>P1</x:v>
      </x:c>
      <x:c r="C33" s="95" t="str">
        <x:v>Cross-Category</x:v>
      </x:c>
      <x:c r="D33" s="95" t="str">
        <x:v>Informational</x:v>
      </x:c>
      <x:c r="E33" s="95" t="str">
        <x:v>countertop appliance size guide</x:v>
      </x:c>
      <x:c r="F33" s="95" t="str">
        <x:v>countertop appliance size guide explained; countertop appliance size guide guide; countertop appliance size guide FAQ; countertop appliance size guide tips; countertop appliance size guide common mistakes</x:v>
      </x:c>
      <x:c r="G33" s="95" t="str">
        <x:v>Informational</x:v>
      </x:c>
      <x:c r="H33" s="95" t="str">
        <x:v>TOFU/MOFU</x:v>
      </x:c>
      <x:c r="I33" s="95" t="str">
        <x:v>/countertop-appliance-size-guide/</x:v>
      </x:c>
      <x:c r="J33" s="95" t="str"/>
      <x:c r="K33" s="95" t="str"/>
      <x:c r="L33" s="95" t="str"/>
      <x:c r="M33" s="95" t="str">
        <x:v>Validate top 10 results, weak domains, content format, freshness and shopping features before briefing.</x:v>
      </x:c>
      <x:c r="N33" s="95" t="str">
        <x:v>Required for model-specific reviews and roundups</x:v>
      </x:c>
      <x:c r="O33" s="101" t="str">
        <x:v>Not Started</x:v>
      </x:c>
    </x:row>
    <x:row r="34">
      <x:c r="A34" s="100" t="str">
        <x:v>EK-HUB</x:v>
      </x:c>
      <x:c r="B34" s="95" t="str">
        <x:v>P2</x:v>
      </x:c>
      <x:c r="C34" s="95" t="str">
        <x:v>Electric Kettles</x:v>
      </x:c>
      <x:c r="D34" s="95" t="str">
        <x:v>Category Hub</x:v>
      </x:c>
      <x:c r="E34" s="95" t="str">
        <x:v>electric kettle reviews and buying guides</x:v>
      </x:c>
      <x:c r="F34" s="95" t="str">
        <x:v>electric kettle reviews and buying guides explained; electric kettle reviews and buying guides guide; electric kettle reviews and buying guides FAQ; electric kettle reviews and buying guides tips; electric kettle reviews and buying guides common mistakes</x:v>
      </x:c>
      <x:c r="G34" s="95" t="str">
        <x:v>Mixed</x:v>
      </x:c>
      <x:c r="H34" s="95" t="str">
        <x:v>MOFU</x:v>
      </x:c>
      <x:c r="I34" s="95" t="str">
        <x:v>/electric-kettles/</x:v>
      </x:c>
      <x:c r="J34" s="95" t="str"/>
      <x:c r="K34" s="95" t="str"/>
      <x:c r="L34" s="95" t="str"/>
      <x:c r="M34" s="95" t="str">
        <x:v>Validate top 10 results, weak domains, content format, freshness and shopping features before briefing.</x:v>
      </x:c>
      <x:c r="N34" s="95" t="str">
        <x:v>Required for model-specific reviews and roundups</x:v>
      </x:c>
      <x:c r="O34" s="101" t="str">
        <x:v>Not Started</x:v>
      </x:c>
    </x:row>
    <x:row r="35">
      <x:c r="A35" s="100" t="str">
        <x:v>TO-HUB</x:v>
      </x:c>
      <x:c r="B35" s="95" t="str">
        <x:v>P2</x:v>
      </x:c>
      <x:c r="C35" s="95" t="str">
        <x:v>Toaster Ovens</x:v>
      </x:c>
      <x:c r="D35" s="95" t="str">
        <x:v>Category Hub</x:v>
      </x:c>
      <x:c r="E35" s="95" t="str">
        <x:v>toaster oven reviews and buying guides</x:v>
      </x:c>
      <x:c r="F35" s="95" t="str">
        <x:v>toaster oven reviews and buying guides explained; toaster oven reviews and buying guides guide; toaster oven reviews and buying guides FAQ; toaster oven reviews and buying guides tips; toaster oven reviews and buying guides common mistakes</x:v>
      </x:c>
      <x:c r="G35" s="95" t="str">
        <x:v>Mixed</x:v>
      </x:c>
      <x:c r="H35" s="95" t="str">
        <x:v>MOFU</x:v>
      </x:c>
      <x:c r="I35" s="95" t="str">
        <x:v>/toaster-ovens/</x:v>
      </x:c>
      <x:c r="J35" s="95" t="str"/>
      <x:c r="K35" s="95" t="str"/>
      <x:c r="L35" s="95" t="str"/>
      <x:c r="M35" s="95" t="str">
        <x:v>Validate top 10 results, weak domains, content format, freshness and shopping features before briefing.</x:v>
      </x:c>
      <x:c r="N35" s="95" t="str">
        <x:v>Required for model-specific reviews and roundups</x:v>
      </x:c>
      <x:c r="O35" s="101" t="str">
        <x:v>Not Started</x:v>
      </x:c>
    </x:row>
    <x:row r="36">
      <x:c r="A36" s="100" t="str">
        <x:v>EK-PIL</x:v>
      </x:c>
      <x:c r="B36" s="95" t="str">
        <x:v>P2</x:v>
      </x:c>
      <x:c r="C36" s="95" t="str">
        <x:v>Electric Kettles</x:v>
      </x:c>
      <x:c r="D36" s="95" t="str">
        <x:v>Commercial Pillar</x:v>
      </x:c>
      <x:c r="E36" s="95" t="str">
        <x:v>best electric kettles</x:v>
      </x:c>
      <x:c r="F36" s="95" t="str">
        <x:v>best electric kettles reviews; best electric kettles comparison; best electric kettles buying guide; best electric kettles for the money; top rated electric kettles</x:v>
      </x:c>
      <x:c r="G36" s="95" t="str">
        <x:v>Commercial Investigation</x:v>
      </x:c>
      <x:c r="H36" s="95" t="str">
        <x:v>BOFU</x:v>
      </x:c>
      <x:c r="I36" s="95" t="str">
        <x:v>/best-electric-kettles/</x:v>
      </x:c>
      <x:c r="J36" s="95" t="str">
        <x:v>EK-HUB</x:v>
      </x:c>
      <x:c r="K36" s="95" t="str"/>
      <x:c r="L36" s="95" t="str"/>
      <x:c r="M36" s="95" t="str">
        <x:v>Validate top 10 results, weak domains, content format, freshness and shopping features before briefing.</x:v>
      </x:c>
      <x:c r="N36" s="95" t="str">
        <x:v>Required for model-specific reviews and roundups</x:v>
      </x:c>
      <x:c r="O36" s="101" t="str">
        <x:v>Not Started</x:v>
      </x:c>
    </x:row>
    <x:row r="37">
      <x:c r="A37" s="100" t="str">
        <x:v>TO-PIL</x:v>
      </x:c>
      <x:c r="B37" s="95" t="str">
        <x:v>P2</x:v>
      </x:c>
      <x:c r="C37" s="95" t="str">
        <x:v>Toaster Ovens</x:v>
      </x:c>
      <x:c r="D37" s="95" t="str">
        <x:v>Commercial Pillar</x:v>
      </x:c>
      <x:c r="E37" s="95" t="str">
        <x:v>best toaster ovens</x:v>
      </x:c>
      <x:c r="F37" s="95" t="str">
        <x:v>best toaster ovens reviews; best toaster ovens comparison; best toaster ovens buying guide; best toaster ovens for the money; top rated toaster ovens</x:v>
      </x:c>
      <x:c r="G37" s="95" t="str">
        <x:v>Commercial Investigation</x:v>
      </x:c>
      <x:c r="H37" s="95" t="str">
        <x:v>BOFU</x:v>
      </x:c>
      <x:c r="I37" s="95" t="str">
        <x:v>/best-toaster-ovens/</x:v>
      </x:c>
      <x:c r="J37" s="95" t="str">
        <x:v>TO-HUB</x:v>
      </x:c>
      <x:c r="K37" s="95" t="str"/>
      <x:c r="L37" s="95" t="str"/>
      <x:c r="M37" s="95" t="str">
        <x:v>Validate top 10 results, weak domains, content format, freshness and shopping features before briefing.</x:v>
      </x:c>
      <x:c r="N37" s="95" t="str">
        <x:v>Required for model-specific reviews and roundups</x:v>
      </x:c>
      <x:c r="O37" s="101" t="str">
        <x:v>Not Started</x:v>
      </x:c>
    </x:row>
    <x:row r="38">
      <x:c r="A38" s="100" t="str">
        <x:v>AF-R08</x:v>
      </x:c>
      <x:c r="B38" s="95" t="str">
        <x:v>P2</x:v>
      </x:c>
      <x:c r="C38" s="95" t="str">
        <x:v>Air Fryers</x:v>
      </x:c>
      <x:c r="D38" s="95" t="str">
        <x:v>Roundup</x:v>
      </x:c>
      <x:c r="E38" s="95" t="str">
        <x:v>best air fryer for apartment</x:v>
      </x:c>
      <x:c r="F38" s="95" t="str">
        <x:v>best air fryer for apartment reviews; best air fryer for apartment comparison; best air fryer for apartment buying guide; best air fryer for apartment for the money; top rated air fryer for apartment</x:v>
      </x:c>
      <x:c r="G38" s="95" t="str">
        <x:v>Commercial Investigation</x:v>
      </x:c>
      <x:c r="H38" s="95" t="str">
        <x:v>BOFU</x:v>
      </x:c>
      <x:c r="I38" s="95" t="str">
        <x:v>/best-air-fryer-for-apartment/</x:v>
      </x:c>
      <x:c r="J38" s="95" t="str">
        <x:v>AF-PIL</x:v>
      </x:c>
      <x:c r="K38" s="95" t="str"/>
      <x:c r="L38" s="95" t="str"/>
      <x:c r="M38" s="95" t="str">
        <x:v>Validate top 10 results, weak domains, content format, freshness and shopping features before briefing.</x:v>
      </x:c>
      <x:c r="N38" s="95" t="str">
        <x:v>Required for model-specific reviews and roundups</x:v>
      </x:c>
      <x:c r="O38" s="101" t="str">
        <x:v>Not Started</x:v>
      </x:c>
    </x:row>
    <x:row r="39">
      <x:c r="A39" s="100" t="str">
        <x:v>AF-R09</x:v>
      </x:c>
      <x:c r="B39" s="95" t="str">
        <x:v>P2</x:v>
      </x:c>
      <x:c r="C39" s="95" t="str">
        <x:v>Air Fryers</x:v>
      </x:c>
      <x:c r="D39" s="95" t="str">
        <x:v>Roundup</x:v>
      </x:c>
      <x:c r="E39" s="95" t="str">
        <x:v>best air fryer for beginners</x:v>
      </x:c>
      <x:c r="F39" s="95" t="str">
        <x:v>best air fryer for beginners reviews; best air fryer for beginners comparison; best air fryer for beginners buying guide; best air fryer for beginners for the money; top rated air fryer for beginners</x:v>
      </x:c>
      <x:c r="G39" s="95" t="str">
        <x:v>Commercial Investigation</x:v>
      </x:c>
      <x:c r="H39" s="95" t="str">
        <x:v>BOFU</x:v>
      </x:c>
      <x:c r="I39" s="95" t="str">
        <x:v>/best-air-fryer-for-beginners/</x:v>
      </x:c>
      <x:c r="J39" s="95" t="str">
        <x:v>AF-PIL</x:v>
      </x:c>
      <x:c r="K39" s="95" t="str"/>
      <x:c r="L39" s="95" t="str"/>
      <x:c r="M39" s="95" t="str">
        <x:v>Validate top 10 results, weak domains, content format, freshness and shopping features before briefing.</x:v>
      </x:c>
      <x:c r="N39" s="95" t="str">
        <x:v>Required for model-specific reviews and roundups</x:v>
      </x:c>
      <x:c r="O39" s="101" t="str">
        <x:v>Not Started</x:v>
      </x:c>
    </x:row>
    <x:row r="40">
      <x:c r="A40" s="100" t="str">
        <x:v>AF-R10</x:v>
      </x:c>
      <x:c r="B40" s="95" t="str">
        <x:v>P2</x:v>
      </x:c>
      <x:c r="C40" s="95" t="str">
        <x:v>Air Fryers</x:v>
      </x:c>
      <x:c r="D40" s="95" t="str">
        <x:v>Roundup</x:v>
      </x:c>
      <x:c r="E40" s="95" t="str">
        <x:v>best air fryer for seniors</x:v>
      </x:c>
      <x:c r="F40" s="95" t="str">
        <x:v>best air fryer for seniors reviews; best air fryer for seniors comparison; best air fryer for seniors buying guide; best air fryer for seniors for the money; top rated air fryer for seniors</x:v>
      </x:c>
      <x:c r="G40" s="95" t="str">
        <x:v>Commercial Investigation</x:v>
      </x:c>
      <x:c r="H40" s="95" t="str">
        <x:v>BOFU</x:v>
      </x:c>
      <x:c r="I40" s="95" t="str">
        <x:v>/best-air-fryer-for-seniors/</x:v>
      </x:c>
      <x:c r="J40" s="95" t="str">
        <x:v>AF-PIL</x:v>
      </x:c>
      <x:c r="K40" s="95" t="str"/>
      <x:c r="L40" s="95" t="str"/>
      <x:c r="M40" s="95" t="str">
        <x:v>Validate top 10 results, weak domains, content format, freshness and shopping features before briefing.</x:v>
      </x:c>
      <x:c r="N40" s="95" t="str">
        <x:v>Required for model-specific reviews and roundups</x:v>
      </x:c>
      <x:c r="O40" s="101" t="str">
        <x:v>Not Started</x:v>
      </x:c>
    </x:row>
    <x:row r="41">
      <x:c r="A41" s="100" t="str">
        <x:v>AF-R13</x:v>
      </x:c>
      <x:c r="B41" s="95" t="str">
        <x:v>P2</x:v>
      </x:c>
      <x:c r="C41" s="95" t="str">
        <x:v>Air Fryers</x:v>
      </x:c>
      <x:c r="D41" s="95" t="str">
        <x:v>Roundup</x:v>
      </x:c>
      <x:c r="E41" s="95" t="str">
        <x:v>best stainless steel air fryer</x:v>
      </x:c>
      <x:c r="F41" s="95" t="str">
        <x:v>best stainless steel air fryer reviews; best stainless steel air fryer comparison; best stainless steel air fryer buying guide; best stainless steel air fryer for the money; top rated stainless steel air fryer</x:v>
      </x:c>
      <x:c r="G41" s="95" t="str">
        <x:v>Commercial Investigation</x:v>
      </x:c>
      <x:c r="H41" s="95" t="str">
        <x:v>BOFU</x:v>
      </x:c>
      <x:c r="I41" s="95" t="str">
        <x:v>/best-stainless-steel-air-fryer/</x:v>
      </x:c>
      <x:c r="J41" s="95" t="str">
        <x:v>AF-PIL</x:v>
      </x:c>
      <x:c r="K41" s="95" t="str"/>
      <x:c r="L41" s="95" t="str"/>
      <x:c r="M41" s="95" t="str">
        <x:v>Validate top 10 results, weak domains, content format, freshness and shopping features before briefing.</x:v>
      </x:c>
      <x:c r="N41" s="95" t="str">
        <x:v>Required for model-specific reviews and roundups</x:v>
      </x:c>
      <x:c r="O41" s="101" t="str">
        <x:v>Not Started</x:v>
      </x:c>
    </x:row>
    <x:row r="42">
      <x:c r="A42" s="100" t="str">
        <x:v>AF-R14</x:v>
      </x:c>
      <x:c r="B42" s="95" t="str">
        <x:v>P2</x:v>
      </x:c>
      <x:c r="C42" s="95" t="str">
        <x:v>Air Fryers</x:v>
      </x:c>
      <x:c r="D42" s="95" t="str">
        <x:v>Roundup</x:v>
      </x:c>
      <x:c r="E42" s="95" t="str">
        <x:v>quietest air fryer</x:v>
      </x:c>
      <x:c r="F42" s="95" t="str">
        <x:v>quietest air fryer reviews; quietest air fryer comparison; quietest air fryer buying guide; quietest air fryer for the money; top rated quietest air fryer</x:v>
      </x:c>
      <x:c r="G42" s="95" t="str">
        <x:v>Commercial Investigation</x:v>
      </x:c>
      <x:c r="H42" s="95" t="str">
        <x:v>BOFU</x:v>
      </x:c>
      <x:c r="I42" s="95" t="str">
        <x:v>/quietest-air-fryer/</x:v>
      </x:c>
      <x:c r="J42" s="95" t="str">
        <x:v>AF-PIL</x:v>
      </x:c>
      <x:c r="K42" s="95" t="str"/>
      <x:c r="L42" s="95" t="str"/>
      <x:c r="M42" s="95" t="str">
        <x:v>Validate top 10 results, weak domains, content format, freshness and shopping features before briefing.</x:v>
      </x:c>
      <x:c r="N42" s="95" t="str">
        <x:v>Required for model-specific reviews and roundups</x:v>
      </x:c>
      <x:c r="O42" s="101" t="str">
        <x:v>Not Started</x:v>
      </x:c>
    </x:row>
    <x:row r="43">
      <x:c r="A43" s="100" t="str">
        <x:v>AF-R15</x:v>
      </x:c>
      <x:c r="B43" s="95" t="str">
        <x:v>P2</x:v>
      </x:c>
      <x:c r="C43" s="95" t="str">
        <x:v>Air Fryers</x:v>
      </x:c>
      <x:c r="D43" s="95" t="str">
        <x:v>Roundup</x:v>
      </x:c>
      <x:c r="E43" s="95" t="str">
        <x:v>best easy to clean air fryer</x:v>
      </x:c>
      <x:c r="F43" s="95" t="str">
        <x:v>best easy to clean air fryer reviews; best easy to clean air fryer comparison; best easy to clean air fryer buying guide; best easy to clean air fryer for the money; top rated easy to clean air fryer</x:v>
      </x:c>
      <x:c r="G43" s="95" t="str">
        <x:v>Commercial Investigation</x:v>
      </x:c>
      <x:c r="H43" s="95" t="str">
        <x:v>BOFU</x:v>
      </x:c>
      <x:c r="I43" s="95" t="str">
        <x:v>/best-easy-to-clean-air-fryer/</x:v>
      </x:c>
      <x:c r="J43" s="95" t="str">
        <x:v>AF-PIL</x:v>
      </x:c>
      <x:c r="K43" s="95" t="str"/>
      <x:c r="L43" s="95" t="str"/>
      <x:c r="M43" s="95" t="str">
        <x:v>Validate top 10 results, weak domains, content format, freshness and shopping features before briefing.</x:v>
      </x:c>
      <x:c r="N43" s="95" t="str">
        <x:v>Required for model-specific reviews and roundups</x:v>
      </x:c>
      <x:c r="O43" s="101" t="str">
        <x:v>Not Started</x:v>
      </x:c>
    </x:row>
    <x:row r="44">
      <x:c r="A44" s="100" t="str">
        <x:v>AF-R16</x:v>
      </x:c>
      <x:c r="B44" s="95" t="str">
        <x:v>P2</x:v>
      </x:c>
      <x:c r="C44" s="95" t="str">
        <x:v>Air Fryers</x:v>
      </x:c>
      <x:c r="D44" s="95" t="str">
        <x:v>Roundup</x:v>
      </x:c>
      <x:c r="E44" s="95" t="str">
        <x:v>best air fryer for chicken wings</x:v>
      </x:c>
      <x:c r="F44" s="95" t="str">
        <x:v>best air fryer for chicken wings reviews; best air fryer for chicken wings comparison; best air fryer for chicken wings buying guide; best air fryer for chicken wings for the money; top rated air fryer for chicken wings</x:v>
      </x:c>
      <x:c r="G44" s="95" t="str">
        <x:v>Commercial Investigation</x:v>
      </x:c>
      <x:c r="H44" s="95" t="str">
        <x:v>BOFU</x:v>
      </x:c>
      <x:c r="I44" s="95" t="str">
        <x:v>/best-air-fryer-for-chicken-wings/</x:v>
      </x:c>
      <x:c r="J44" s="95" t="str">
        <x:v>AF-PIL</x:v>
      </x:c>
      <x:c r="K44" s="95" t="str"/>
      <x:c r="L44" s="95" t="str"/>
      <x:c r="M44" s="95" t="str">
        <x:v>Validate top 10 results, weak domains, content format, freshness and shopping features before briefing.</x:v>
      </x:c>
      <x:c r="N44" s="95" t="str">
        <x:v>Required for model-specific reviews and roundups</x:v>
      </x:c>
      <x:c r="O44" s="101" t="str">
        <x:v>Not Started</x:v>
      </x:c>
    </x:row>
    <x:row r="45">
      <x:c r="A45" s="100" t="str">
        <x:v>AF-R17</x:v>
      </x:c>
      <x:c r="B45" s="95" t="str">
        <x:v>P2</x:v>
      </x:c>
      <x:c r="C45" s="95" t="str">
        <x:v>Air Fryers</x:v>
      </x:c>
      <x:c r="D45" s="95" t="str">
        <x:v>Roundup</x:v>
      </x:c>
      <x:c r="E45" s="95" t="str">
        <x:v>best air fryer for french fries</x:v>
      </x:c>
      <x:c r="F45" s="95" t="str">
        <x:v>best air fryer for french fries reviews; best air fryer for french fries comparison; best air fryer for french fries buying guide; best air fryer for french fries for the money; top rated air fryer for french fries</x:v>
      </x:c>
      <x:c r="G45" s="95" t="str">
        <x:v>Commercial Investigation</x:v>
      </x:c>
      <x:c r="H45" s="95" t="str">
        <x:v>BOFU</x:v>
      </x:c>
      <x:c r="I45" s="95" t="str">
        <x:v>/best-air-fryer-for-french-fries/</x:v>
      </x:c>
      <x:c r="J45" s="95" t="str">
        <x:v>AF-PIL</x:v>
      </x:c>
      <x:c r="K45" s="95" t="str"/>
      <x:c r="L45" s="95" t="str"/>
      <x:c r="M45" s="95" t="str">
        <x:v>Validate top 10 results, weak domains, content format, freshness and shopping features before briefing.</x:v>
      </x:c>
      <x:c r="N45" s="95" t="str">
        <x:v>Required for model-specific reviews and roundups</x:v>
      </x:c>
      <x:c r="O45" s="101" t="str">
        <x:v>Not Started</x:v>
      </x:c>
    </x:row>
    <x:row r="46">
      <x:c r="A46" s="100" t="str">
        <x:v>BL-R02</x:v>
      </x:c>
      <x:c r="B46" s="95" t="str">
        <x:v>P2</x:v>
      </x:c>
      <x:c r="C46" s="95" t="str">
        <x:v>Blenders</x:v>
      </x:c>
      <x:c r="D46" s="95" t="str">
        <x:v>Roundup</x:v>
      </x:c>
      <x:c r="E46" s="95" t="str">
        <x:v>best blender under $200</x:v>
      </x:c>
      <x:c r="F46" s="95" t="str">
        <x:v>best blender under $200 reviews; best blender under $200 comparison; best blender under $200 buying guide; best blender under $200 for the money; top rated blender under $200</x:v>
      </x:c>
      <x:c r="G46" s="95" t="str">
        <x:v>Commercial Investigation</x:v>
      </x:c>
      <x:c r="H46" s="95" t="str">
        <x:v>BOFU</x:v>
      </x:c>
      <x:c r="I46" s="95" t="str">
        <x:v>/best-blender-under-200/</x:v>
      </x:c>
      <x:c r="J46" s="95" t="str">
        <x:v>BL-PIL</x:v>
      </x:c>
      <x:c r="K46" s="95" t="str"/>
      <x:c r="L46" s="95" t="str"/>
      <x:c r="M46" s="95" t="str">
        <x:v>Validate top 10 results, weak domains, content format, freshness and shopping features before briefing.</x:v>
      </x:c>
      <x:c r="N46" s="95" t="str">
        <x:v>Required for model-specific reviews and roundups</x:v>
      </x:c>
      <x:c r="O46" s="101" t="str">
        <x:v>Not Started</x:v>
      </x:c>
    </x:row>
    <x:row r="47">
      <x:c r="A47" s="100" t="str">
        <x:v>BL-R07</x:v>
      </x:c>
      <x:c r="B47" s="95" t="str">
        <x:v>P2</x:v>
      </x:c>
      <x:c r="C47" s="95" t="str">
        <x:v>Blenders</x:v>
      </x:c>
      <x:c r="D47" s="95" t="str">
        <x:v>Roundup</x:v>
      </x:c>
      <x:c r="E47" s="95" t="str">
        <x:v>best blender for protein shakes</x:v>
      </x:c>
      <x:c r="F47" s="95" t="str">
        <x:v>best blender for protein shakes reviews; best blender for protein shakes comparison; best blender for protein shakes buying guide; best blender for protein shakes for the money; top rated blender for protein shakes</x:v>
      </x:c>
      <x:c r="G47" s="95" t="str">
        <x:v>Commercial Investigation</x:v>
      </x:c>
      <x:c r="H47" s="95" t="str">
        <x:v>BOFU</x:v>
      </x:c>
      <x:c r="I47" s="95" t="str">
        <x:v>/best-blender-for-protein-shakes/</x:v>
      </x:c>
      <x:c r="J47" s="95" t="str">
        <x:v>BL-PIL</x:v>
      </x:c>
      <x:c r="K47" s="95" t="str"/>
      <x:c r="L47" s="95" t="str"/>
      <x:c r="M47" s="95" t="str">
        <x:v>Validate top 10 results, weak domains, content format, freshness and shopping features before briefing.</x:v>
      </x:c>
      <x:c r="N47" s="95" t="str">
        <x:v>Required for model-specific reviews and roundups</x:v>
      </x:c>
      <x:c r="O47" s="101" t="str">
        <x:v>Not Started</x:v>
      </x:c>
    </x:row>
    <x:row r="48">
      <x:c r="A48" s="100" t="str">
        <x:v>BL-R08</x:v>
      </x:c>
      <x:c r="B48" s="95" t="str">
        <x:v>P2</x:v>
      </x:c>
      <x:c r="C48" s="95" t="str">
        <x:v>Blenders</x:v>
      </x:c>
      <x:c r="D48" s="95" t="str">
        <x:v>Roundup</x:v>
      </x:c>
      <x:c r="E48" s="95" t="str">
        <x:v>best blender for nut butter</x:v>
      </x:c>
      <x:c r="F48" s="95" t="str">
        <x:v>best blender for nut butter reviews; best blender for nut butter comparison; best blender for nut butter buying guide; best blender for nut butter for the money; top rated blender for nut butter</x:v>
      </x:c>
      <x:c r="G48" s="95" t="str">
        <x:v>Commercial Investigation</x:v>
      </x:c>
      <x:c r="H48" s="95" t="str">
        <x:v>BOFU</x:v>
      </x:c>
      <x:c r="I48" s="95" t="str">
        <x:v>/best-blender-for-nut-butter/</x:v>
      </x:c>
      <x:c r="J48" s="95" t="str">
        <x:v>BL-PIL</x:v>
      </x:c>
      <x:c r="K48" s="95" t="str"/>
      <x:c r="L48" s="95" t="str"/>
      <x:c r="M48" s="95" t="str">
        <x:v>Validate top 10 results, weak domains, content format, freshness and shopping features before briefing.</x:v>
      </x:c>
      <x:c r="N48" s="95" t="str">
        <x:v>Required for model-specific reviews and roundups</x:v>
      </x:c>
      <x:c r="O48" s="101" t="str">
        <x:v>Not Started</x:v>
      </x:c>
    </x:row>
    <x:row r="49">
      <x:c r="A49" s="100" t="str">
        <x:v>BL-R09</x:v>
      </x:c>
      <x:c r="B49" s="95" t="str">
        <x:v>P2</x:v>
      </x:c>
      <x:c r="C49" s="95" t="str">
        <x:v>Blenders</x:v>
      </x:c>
      <x:c r="D49" s="95" t="str">
        <x:v>Roundup</x:v>
      </x:c>
      <x:c r="E49" s="95" t="str">
        <x:v>best blender for hot soup</x:v>
      </x:c>
      <x:c r="F49" s="95" t="str">
        <x:v>best blender for hot soup reviews; best blender for hot soup comparison; best blender for hot soup buying guide; best blender for hot soup for the money; top rated blender for hot soup</x:v>
      </x:c>
      <x:c r="G49" s="95" t="str">
        <x:v>Commercial Investigation</x:v>
      </x:c>
      <x:c r="H49" s="95" t="str">
        <x:v>BOFU</x:v>
      </x:c>
      <x:c r="I49" s="95" t="str">
        <x:v>/best-blender-for-hot-soup/</x:v>
      </x:c>
      <x:c r="J49" s="95" t="str">
        <x:v>BL-PIL</x:v>
      </x:c>
      <x:c r="K49" s="95" t="str"/>
      <x:c r="L49" s="95" t="str"/>
      <x:c r="M49" s="95" t="str">
        <x:v>Validate top 10 results, weak domains, content format, freshness and shopping features before briefing.</x:v>
      </x:c>
      <x:c r="N49" s="95" t="str">
        <x:v>Required for model-specific reviews and roundups</x:v>
      </x:c>
      <x:c r="O49" s="101" t="str">
        <x:v>Not Started</x:v>
      </x:c>
    </x:row>
    <x:row r="50">
      <x:c r="A50" s="100" t="str">
        <x:v>BL-R10</x:v>
      </x:c>
      <x:c r="B50" s="95" t="str">
        <x:v>P2</x:v>
      </x:c>
      <x:c r="C50" s="95" t="str">
        <x:v>Blenders</x:v>
      </x:c>
      <x:c r="D50" s="95" t="str">
        <x:v>Roundup</x:v>
      </x:c>
      <x:c r="E50" s="95" t="str">
        <x:v>quietest blender</x:v>
      </x:c>
      <x:c r="F50" s="95" t="str">
        <x:v>quietest blender reviews; quietest blender comparison; quietest blender buying guide; quietest blender for the money; top rated quietest blender</x:v>
      </x:c>
      <x:c r="G50" s="95" t="str">
        <x:v>Commercial Investigation</x:v>
      </x:c>
      <x:c r="H50" s="95" t="str">
        <x:v>BOFU</x:v>
      </x:c>
      <x:c r="I50" s="95" t="str">
        <x:v>/quietest-blender/</x:v>
      </x:c>
      <x:c r="J50" s="95" t="str">
        <x:v>BL-PIL</x:v>
      </x:c>
      <x:c r="K50" s="95" t="str"/>
      <x:c r="L50" s="95" t="str"/>
      <x:c r="M50" s="95" t="str">
        <x:v>Validate top 10 results, weak domains, content format, freshness and shopping features before briefing.</x:v>
      </x:c>
      <x:c r="N50" s="95" t="str">
        <x:v>Required for model-specific reviews and roundups</x:v>
      </x:c>
      <x:c r="O50" s="101" t="str">
        <x:v>Not Started</x:v>
      </x:c>
    </x:row>
    <x:row r="51">
      <x:c r="A51" s="100" t="str">
        <x:v>BL-R11</x:v>
      </x:c>
      <x:c r="B51" s="95" t="str">
        <x:v>P2</x:v>
      </x:c>
      <x:c r="C51" s="95" t="str">
        <x:v>Blenders</x:v>
      </x:c>
      <x:c r="D51" s="95" t="str">
        <x:v>Roundup</x:v>
      </x:c>
      <x:c r="E51" s="95" t="str">
        <x:v>best blender with glass jar</x:v>
      </x:c>
      <x:c r="F51" s="95" t="str">
        <x:v>best blender with glass jar reviews; best blender with glass jar comparison; best blender with glass jar buying guide; best blender with glass jar for the money; top rated blender with glass jar</x:v>
      </x:c>
      <x:c r="G51" s="95" t="str">
        <x:v>Commercial Investigation</x:v>
      </x:c>
      <x:c r="H51" s="95" t="str">
        <x:v>BOFU</x:v>
      </x:c>
      <x:c r="I51" s="95" t="str">
        <x:v>/best-blender-with-glass-jar/</x:v>
      </x:c>
      <x:c r="J51" s="95" t="str">
        <x:v>BL-PIL</x:v>
      </x:c>
      <x:c r="K51" s="95" t="str"/>
      <x:c r="L51" s="95" t="str"/>
      <x:c r="M51" s="95" t="str">
        <x:v>Validate top 10 results, weak domains, content format, freshness and shopping features before briefing.</x:v>
      </x:c>
      <x:c r="N51" s="95" t="str">
        <x:v>Required for model-specific reviews and roundups</x:v>
      </x:c>
      <x:c r="O51" s="101" t="str">
        <x:v>Not Started</x:v>
      </x:c>
    </x:row>
    <x:row r="52">
      <x:c r="A52" s="100" t="str">
        <x:v>BL-R12</x:v>
      </x:c>
      <x:c r="B52" s="95" t="str">
        <x:v>P2</x:v>
      </x:c>
      <x:c r="C52" s="95" t="str">
        <x:v>Blenders</x:v>
      </x:c>
      <x:c r="D52" s="95" t="str">
        <x:v>Roundup</x:v>
      </x:c>
      <x:c r="E52" s="95" t="str">
        <x:v>best compact blender</x:v>
      </x:c>
      <x:c r="F52" s="95" t="str">
        <x:v>best compact blender reviews; best compact blender comparison; best compact blender buying guide; best compact blender for the money; top rated compact blender</x:v>
      </x:c>
      <x:c r="G52" s="95" t="str">
        <x:v>Commercial Investigation</x:v>
      </x:c>
      <x:c r="H52" s="95" t="str">
        <x:v>BOFU</x:v>
      </x:c>
      <x:c r="I52" s="95" t="str">
        <x:v>/best-compact-blender/</x:v>
      </x:c>
      <x:c r="J52" s="95" t="str">
        <x:v>BL-PIL</x:v>
      </x:c>
      <x:c r="K52" s="95" t="str"/>
      <x:c r="L52" s="95" t="str"/>
      <x:c r="M52" s="95" t="str">
        <x:v>Validate top 10 results, weak domains, content format, freshness and shopping features before briefing.</x:v>
      </x:c>
      <x:c r="N52" s="95" t="str">
        <x:v>Required for model-specific reviews and roundups</x:v>
      </x:c>
      <x:c r="O52" s="101" t="str">
        <x:v>Not Started</x:v>
      </x:c>
    </x:row>
    <x:row r="53">
      <x:c r="A53" s="100" t="str">
        <x:v>EK-R01</x:v>
      </x:c>
      <x:c r="B53" s="95" t="str">
        <x:v>P2</x:v>
      </x:c>
      <x:c r="C53" s="95" t="str">
        <x:v>Electric Kettles</x:v>
      </x:c>
      <x:c r="D53" s="95" t="str">
        <x:v>Roundup</x:v>
      </x:c>
      <x:c r="E53" s="95" t="str">
        <x:v>best electric kettle under $50</x:v>
      </x:c>
      <x:c r="F53" s="95" t="str">
        <x:v>best electric kettle under $50 reviews; best electric kettle under $50 comparison; best electric kettle under $50 buying guide; best electric kettle under $50 for the money; top rated electric kettle under $50</x:v>
      </x:c>
      <x:c r="G53" s="95" t="str">
        <x:v>Commercial Investigation</x:v>
      </x:c>
      <x:c r="H53" s="95" t="str">
        <x:v>BOFU</x:v>
      </x:c>
      <x:c r="I53" s="95" t="str">
        <x:v>/best-electric-kettle-under-50/</x:v>
      </x:c>
      <x:c r="J53" s="95" t="str">
        <x:v>EK-PIL</x:v>
      </x:c>
      <x:c r="K53" s="95" t="str"/>
      <x:c r="L53" s="95" t="str"/>
      <x:c r="M53" s="95" t="str">
        <x:v>Validate top 10 results, weak domains, content format, freshness and shopping features before briefing.</x:v>
      </x:c>
      <x:c r="N53" s="95" t="str">
        <x:v>Required for model-specific reviews and roundups</x:v>
      </x:c>
      <x:c r="O53" s="101" t="str">
        <x:v>Not Started</x:v>
      </x:c>
    </x:row>
    <x:row r="54">
      <x:c r="A54" s="100" t="str">
        <x:v>EK-R02</x:v>
      </x:c>
      <x:c r="B54" s="95" t="str">
        <x:v>P2</x:v>
      </x:c>
      <x:c r="C54" s="95" t="str">
        <x:v>Electric Kettles</x:v>
      </x:c>
      <x:c r="D54" s="95" t="str">
        <x:v>Roundup</x:v>
      </x:c>
      <x:c r="E54" s="95" t="str">
        <x:v>best gooseneck kettle</x:v>
      </x:c>
      <x:c r="F54" s="95" t="str">
        <x:v>best gooseneck kettle reviews; best gooseneck kettle comparison; best gooseneck kettle buying guide; best gooseneck kettle for the money; top rated gooseneck kettle</x:v>
      </x:c>
      <x:c r="G54" s="95" t="str">
        <x:v>Commercial Investigation</x:v>
      </x:c>
      <x:c r="H54" s="95" t="str">
        <x:v>BOFU</x:v>
      </x:c>
      <x:c r="I54" s="95" t="str">
        <x:v>/best-gooseneck-kettle/</x:v>
      </x:c>
      <x:c r="J54" s="95" t="str">
        <x:v>EK-PIL</x:v>
      </x:c>
      <x:c r="K54" s="95" t="str"/>
      <x:c r="L54" s="95" t="str"/>
      <x:c r="M54" s="95" t="str">
        <x:v>Validate top 10 results, weak domains, content format, freshness and shopping features before briefing.</x:v>
      </x:c>
      <x:c r="N54" s="95" t="str">
        <x:v>Required for model-specific reviews and roundups</x:v>
      </x:c>
      <x:c r="O54" s="101" t="str">
        <x:v>Not Started</x:v>
      </x:c>
    </x:row>
    <x:row r="55">
      <x:c r="A55" s="100" t="str">
        <x:v>EK-R03</x:v>
      </x:c>
      <x:c r="B55" s="95" t="str">
        <x:v>P2</x:v>
      </x:c>
      <x:c r="C55" s="95" t="str">
        <x:v>Electric Kettles</x:v>
      </x:c>
      <x:c r="D55" s="95" t="str">
        <x:v>Roundup</x:v>
      </x:c>
      <x:c r="E55" s="95" t="str">
        <x:v>best electric kettle for tea</x:v>
      </x:c>
      <x:c r="F55" s="95" t="str">
        <x:v>best electric kettle for tea reviews; best electric kettle for tea comparison; best electric kettle for tea buying guide; best electric kettle for tea for the money; top rated electric kettle for tea</x:v>
      </x:c>
      <x:c r="G55" s="95" t="str">
        <x:v>Commercial Investigation</x:v>
      </x:c>
      <x:c r="H55" s="95" t="str">
        <x:v>BOFU</x:v>
      </x:c>
      <x:c r="I55" s="95" t="str">
        <x:v>/best-electric-kettle-for-tea/</x:v>
      </x:c>
      <x:c r="J55" s="95" t="str">
        <x:v>EK-PIL</x:v>
      </x:c>
      <x:c r="K55" s="95" t="str"/>
      <x:c r="L55" s="95" t="str"/>
      <x:c r="M55" s="95" t="str">
        <x:v>Validate top 10 results, weak domains, content format, freshness and shopping features before briefing.</x:v>
      </x:c>
      <x:c r="N55" s="95" t="str">
        <x:v>Required for model-specific reviews and roundups</x:v>
      </x:c>
      <x:c r="O55" s="101" t="str">
        <x:v>Not Started</x:v>
      </x:c>
    </x:row>
    <x:row r="56">
      <x:c r="A56" s="100" t="str">
        <x:v>EK-R04</x:v>
      </x:c>
      <x:c r="B56" s="95" t="str">
        <x:v>P2</x:v>
      </x:c>
      <x:c r="C56" s="95" t="str">
        <x:v>Electric Kettles</x:v>
      </x:c>
      <x:c r="D56" s="95" t="str">
        <x:v>Roundup</x:v>
      </x:c>
      <x:c r="E56" s="95" t="str">
        <x:v>best electric kettle for pour over coffee</x:v>
      </x:c>
      <x:c r="F56" s="95" t="str">
        <x:v>best electric kettle for pour over coffee reviews; best electric kettle for pour over coffee comparison; best electric kettle for pour over coffee buying guide; best electric kettle for pour over coffee for the money; top rated electric kettle for pour over coffee</x:v>
      </x:c>
      <x:c r="G56" s="95" t="str">
        <x:v>Commercial Investigation</x:v>
      </x:c>
      <x:c r="H56" s="95" t="str">
        <x:v>BOFU</x:v>
      </x:c>
      <x:c r="I56" s="95" t="str">
        <x:v>/best-electric-kettle-for-pour-over-coffee/</x:v>
      </x:c>
      <x:c r="J56" s="95" t="str">
        <x:v>EK-PIL</x:v>
      </x:c>
      <x:c r="K56" s="95" t="str"/>
      <x:c r="L56" s="95" t="str"/>
      <x:c r="M56" s="95" t="str">
        <x:v>Validate top 10 results, weak domains, content format, freshness and shopping features before briefing.</x:v>
      </x:c>
      <x:c r="N56" s="95" t="str">
        <x:v>Required for model-specific reviews and roundups</x:v>
      </x:c>
      <x:c r="O56" s="101" t="str">
        <x:v>Not Started</x:v>
      </x:c>
    </x:row>
    <x:row r="57">
      <x:c r="A57" s="100" t="str">
        <x:v>EK-R05</x:v>
      </x:c>
      <x:c r="B57" s="95" t="str">
        <x:v>P2</x:v>
      </x:c>
      <x:c r="C57" s="95" t="str">
        <x:v>Electric Kettles</x:v>
      </x:c>
      <x:c r="D57" s="95" t="str">
        <x:v>Roundup</x:v>
      </x:c>
      <x:c r="E57" s="95" t="str">
        <x:v>best variable temperature kettle</x:v>
      </x:c>
      <x:c r="F57" s="95" t="str">
        <x:v>best variable temperature kettle reviews; best variable temperature kettle comparison; best variable temperature kettle buying guide; best variable temperature kettle for the money; top rated variable temperature kettle</x:v>
      </x:c>
      <x:c r="G57" s="95" t="str">
        <x:v>Commercial Investigation</x:v>
      </x:c>
      <x:c r="H57" s="95" t="str">
        <x:v>BOFU</x:v>
      </x:c>
      <x:c r="I57" s="95" t="str">
        <x:v>/best-variable-temperature-kettle/</x:v>
      </x:c>
      <x:c r="J57" s="95" t="str">
        <x:v>EK-PIL</x:v>
      </x:c>
      <x:c r="K57" s="95" t="str"/>
      <x:c r="L57" s="95" t="str"/>
      <x:c r="M57" s="95" t="str">
        <x:v>Validate top 10 results, weak domains, content format, freshness and shopping features before briefing.</x:v>
      </x:c>
      <x:c r="N57" s="95" t="str">
        <x:v>Required for model-specific reviews and roundups</x:v>
      </x:c>
      <x:c r="O57" s="101" t="str">
        <x:v>Not Started</x:v>
      </x:c>
    </x:row>
    <x:row r="58">
      <x:c r="A58" s="100" t="str">
        <x:v>TO-R01</x:v>
      </x:c>
      <x:c r="B58" s="95" t="str">
        <x:v>P2</x:v>
      </x:c>
      <x:c r="C58" s="95" t="str">
        <x:v>Toaster Ovens</x:v>
      </x:c>
      <x:c r="D58" s="95" t="str">
        <x:v>Roundup</x:v>
      </x:c>
      <x:c r="E58" s="95" t="str">
        <x:v>best toaster oven under $100</x:v>
      </x:c>
      <x:c r="F58" s="95" t="str">
        <x:v>best toaster oven under $100 reviews; best toaster oven under $100 comparison; best toaster oven under $100 buying guide; best toaster oven under $100 for the money; top rated toaster oven under $100</x:v>
      </x:c>
      <x:c r="G58" s="95" t="str">
        <x:v>Commercial Investigation</x:v>
      </x:c>
      <x:c r="H58" s="95" t="str">
        <x:v>BOFU</x:v>
      </x:c>
      <x:c r="I58" s="95" t="str">
        <x:v>/best-toaster-oven-under-100/</x:v>
      </x:c>
      <x:c r="J58" s="95" t="str">
        <x:v>TO-PIL</x:v>
      </x:c>
      <x:c r="K58" s="95" t="str"/>
      <x:c r="L58" s="95" t="str"/>
      <x:c r="M58" s="95" t="str">
        <x:v>Validate top 10 results, weak domains, content format, freshness and shopping features before briefing.</x:v>
      </x:c>
      <x:c r="N58" s="95" t="str">
        <x:v>Required for model-specific reviews and roundups</x:v>
      </x:c>
      <x:c r="O58" s="101" t="str">
        <x:v>Not Started</x:v>
      </x:c>
    </x:row>
    <x:row r="59">
      <x:c r="A59" s="100" t="str">
        <x:v>TO-R02</x:v>
      </x:c>
      <x:c r="B59" s="95" t="str">
        <x:v>P2</x:v>
      </x:c>
      <x:c r="C59" s="95" t="str">
        <x:v>Toaster Ovens</x:v>
      </x:c>
      <x:c r="D59" s="95" t="str">
        <x:v>Roundup</x:v>
      </x:c>
      <x:c r="E59" s="95" t="str">
        <x:v>best toaster oven under $200</x:v>
      </x:c>
      <x:c r="F59" s="95" t="str">
        <x:v>best toaster oven under $200 reviews; best toaster oven under $200 comparison; best toaster oven under $200 buying guide; best toaster oven under $200 for the money; top rated toaster oven under $200</x:v>
      </x:c>
      <x:c r="G59" s="95" t="str">
        <x:v>Commercial Investigation</x:v>
      </x:c>
      <x:c r="H59" s="95" t="str">
        <x:v>BOFU</x:v>
      </x:c>
      <x:c r="I59" s="95" t="str">
        <x:v>/best-toaster-oven-under-200/</x:v>
      </x:c>
      <x:c r="J59" s="95" t="str">
        <x:v>TO-PIL</x:v>
      </x:c>
      <x:c r="K59" s="95" t="str"/>
      <x:c r="L59" s="95" t="str"/>
      <x:c r="M59" s="95" t="str">
        <x:v>Validate top 10 results, weak domains, content format, freshness and shopping features before briefing.</x:v>
      </x:c>
      <x:c r="N59" s="95" t="str">
        <x:v>Required for model-specific reviews and roundups</x:v>
      </x:c>
      <x:c r="O59" s="101" t="str">
        <x:v>Not Started</x:v>
      </x:c>
    </x:row>
    <x:row r="60">
      <x:c r="A60" s="100" t="str">
        <x:v>TO-R03</x:v>
      </x:c>
      <x:c r="B60" s="95" t="str">
        <x:v>P2</x:v>
      </x:c>
      <x:c r="C60" s="95" t="str">
        <x:v>Toaster Ovens</x:v>
      </x:c>
      <x:c r="D60" s="95" t="str">
        <x:v>Roundup</x:v>
      </x:c>
      <x:c r="E60" s="95" t="str">
        <x:v>best small toaster oven</x:v>
      </x:c>
      <x:c r="F60" s="95" t="str">
        <x:v>best small toaster oven reviews; best small toaster oven comparison; best small toaster oven buying guide; best small toaster oven for the money; top rated small toaster oven</x:v>
      </x:c>
      <x:c r="G60" s="95" t="str">
        <x:v>Commercial Investigation</x:v>
      </x:c>
      <x:c r="H60" s="95" t="str">
        <x:v>BOFU</x:v>
      </x:c>
      <x:c r="I60" s="95" t="str">
        <x:v>/best-small-toaster-oven/</x:v>
      </x:c>
      <x:c r="J60" s="95" t="str">
        <x:v>TO-PIL</x:v>
      </x:c>
      <x:c r="K60" s="95" t="str"/>
      <x:c r="L60" s="95" t="str"/>
      <x:c r="M60" s="95" t="str">
        <x:v>Validate top 10 results, weak domains, content format, freshness and shopping features before briefing.</x:v>
      </x:c>
      <x:c r="N60" s="95" t="str">
        <x:v>Required for model-specific reviews and roundups</x:v>
      </x:c>
      <x:c r="O60" s="101" t="str">
        <x:v>Not Started</x:v>
      </x:c>
    </x:row>
    <x:row r="61">
      <x:c r="A61" s="100" t="str">
        <x:v>TO-R04</x:v>
      </x:c>
      <x:c r="B61" s="95" t="str">
        <x:v>P2</x:v>
      </x:c>
      <x:c r="C61" s="95" t="str">
        <x:v>Toaster Ovens</x:v>
      </x:c>
      <x:c r="D61" s="95" t="str">
        <x:v>Roundup</x:v>
      </x:c>
      <x:c r="E61" s="95" t="str">
        <x:v>best toaster oven for baking</x:v>
      </x:c>
      <x:c r="F61" s="95" t="str">
        <x:v>best toaster oven for baking reviews; best toaster oven for baking comparison; best toaster oven for baking buying guide; best toaster oven for baking for the money; top rated toaster oven for baking</x:v>
      </x:c>
      <x:c r="G61" s="95" t="str">
        <x:v>Commercial Investigation</x:v>
      </x:c>
      <x:c r="H61" s="95" t="str">
        <x:v>BOFU</x:v>
      </x:c>
      <x:c r="I61" s="95" t="str">
        <x:v>/best-toaster-oven-for-baking/</x:v>
      </x:c>
      <x:c r="J61" s="95" t="str">
        <x:v>TO-PIL</x:v>
      </x:c>
      <x:c r="K61" s="95" t="str"/>
      <x:c r="L61" s="95" t="str"/>
      <x:c r="M61" s="95" t="str">
        <x:v>Validate top 10 results, weak domains, content format, freshness and shopping features before briefing.</x:v>
      </x:c>
      <x:c r="N61" s="95" t="str">
        <x:v>Required for model-specific reviews and roundups</x:v>
      </x:c>
      <x:c r="O61" s="101" t="str">
        <x:v>Not Started</x:v>
      </x:c>
    </x:row>
    <x:row r="62">
      <x:c r="A62" s="100" t="str">
        <x:v>TO-R06</x:v>
      </x:c>
      <x:c r="B62" s="95" t="str">
        <x:v>P2</x:v>
      </x:c>
      <x:c r="C62" s="95" t="str">
        <x:v>Toaster Ovens</x:v>
      </x:c>
      <x:c r="D62" s="95" t="str">
        <x:v>Roundup</x:v>
      </x:c>
      <x:c r="E62" s="95" t="str">
        <x:v>best air fryer toaster oven</x:v>
      </x:c>
      <x:c r="F62" s="95" t="str">
        <x:v>best air fryer toaster oven reviews; best air fryer toaster oven comparison; best air fryer toaster oven buying guide; best air fryer toaster oven for the money; top rated air fryer toaster oven</x:v>
      </x:c>
      <x:c r="G62" s="95" t="str">
        <x:v>Commercial Investigation</x:v>
      </x:c>
      <x:c r="H62" s="95" t="str">
        <x:v>BOFU</x:v>
      </x:c>
      <x:c r="I62" s="95" t="str">
        <x:v>/best-air-fryer-toaster-oven/</x:v>
      </x:c>
      <x:c r="J62" s="95" t="str">
        <x:v>TO-PIL</x:v>
      </x:c>
      <x:c r="K62" s="95" t="str"/>
      <x:c r="L62" s="95" t="str"/>
      <x:c r="M62" s="95" t="str">
        <x:v>Validate top 10 results, weak domains, content format, freshness and shopping features before briefing.</x:v>
      </x:c>
      <x:c r="N62" s="95" t="str">
        <x:v>Required for model-specific reviews and roundups</x:v>
      </x:c>
      <x:c r="O62" s="101" t="str">
        <x:v>Not Started</x:v>
      </x:c>
    </x:row>
    <x:row r="63">
      <x:c r="A63" s="100" t="str">
        <x:v>AF-C02</x:v>
      </x:c>
      <x:c r="B63" s="95" t="str">
        <x:v>P2</x:v>
      </x:c>
      <x:c r="C63" s="95" t="str">
        <x:v>Air Fryers</x:v>
      </x:c>
      <x:c r="D63" s="95" t="str">
        <x:v>Comparison</x:v>
      </x:c>
      <x:c r="E63" s="95" t="str">
        <x:v>instant vortex vs ninja air fryer</x:v>
      </x:c>
      <x:c r="F63" s="95" t="str">
        <x:v>instant vortex vs ninja air fryer differences; instant vortex vs ninja air fryer which is better; instant vortex vs ninja air fryer performance; instant vortex vs ninja air fryer price; instant vortex vs ninja air fryer pros and cons</x:v>
      </x:c>
      <x:c r="G63" s="95" t="str">
        <x:v>Commercial Investigation</x:v>
      </x:c>
      <x:c r="H63" s="95" t="str">
        <x:v>BOFU</x:v>
      </x:c>
      <x:c r="I63" s="95" t="str">
        <x:v>/instant-vortex-vs-ninja-air-fryer/</x:v>
      </x:c>
      <x:c r="J63" s="95" t="str">
        <x:v>AF-PIL</x:v>
      </x:c>
      <x:c r="K63" s="95" t="str"/>
      <x:c r="L63" s="95" t="str"/>
      <x:c r="M63" s="95" t="str">
        <x:v>Validate top 10 results, weak domains, content format, freshness and shopping features before briefing.</x:v>
      </x:c>
      <x:c r="N63" s="95" t="str">
        <x:v>Required for model-specific reviews and roundups</x:v>
      </x:c>
      <x:c r="O63" s="101" t="str">
        <x:v>Not Started</x:v>
      </x:c>
    </x:row>
    <x:row r="64">
      <x:c r="A64" s="100" t="str">
        <x:v>AF-C04</x:v>
      </x:c>
      <x:c r="B64" s="95" t="str">
        <x:v>P2</x:v>
      </x:c>
      <x:c r="C64" s="95" t="str">
        <x:v>Air Fryers</x:v>
      </x:c>
      <x:c r="D64" s="95" t="str">
        <x:v>Comparison</x:v>
      </x:c>
      <x:c r="E64" s="95" t="str">
        <x:v>single vs dual basket air fryer</x:v>
      </x:c>
      <x:c r="F64" s="95" t="str">
        <x:v>single vs dual basket air fryer differences; single vs dual basket air fryer which is better; single vs dual basket air fryer performance; single vs dual basket air fryer price; single vs dual basket air fryer pros and cons</x:v>
      </x:c>
      <x:c r="G64" s="95" t="str">
        <x:v>Commercial Investigation</x:v>
      </x:c>
      <x:c r="H64" s="95" t="str">
        <x:v>BOFU</x:v>
      </x:c>
      <x:c r="I64" s="95" t="str">
        <x:v>/single-vs-dual-basket-air-fryer/</x:v>
      </x:c>
      <x:c r="J64" s="95" t="str">
        <x:v>AF-PIL</x:v>
      </x:c>
      <x:c r="K64" s="95" t="str"/>
      <x:c r="L64" s="95" t="str"/>
      <x:c r="M64" s="95" t="str">
        <x:v>Validate top 10 results, weak domains, content format, freshness and shopping features before briefing.</x:v>
      </x:c>
      <x:c r="N64" s="95" t="str">
        <x:v>Required for model-specific reviews and roundups</x:v>
      </x:c>
      <x:c r="O64" s="101" t="str">
        <x:v>Not Started</x:v>
      </x:c>
    </x:row>
    <x:row r="65">
      <x:c r="A65" s="100" t="str">
        <x:v>AF-C05</x:v>
      </x:c>
      <x:c r="B65" s="95" t="str">
        <x:v>P2</x:v>
      </x:c>
      <x:c r="C65" s="95" t="str">
        <x:v>Air Fryers</x:v>
      </x:c>
      <x:c r="D65" s="95" t="str">
        <x:v>Comparison</x:v>
      </x:c>
      <x:c r="E65" s="95" t="str">
        <x:v>4 qt vs 6 qt air fryer</x:v>
      </x:c>
      <x:c r="F65" s="95" t="str">
        <x:v>4 qt vs 6 qt air fryer differences; 4 qt vs 6 qt air fryer which is better; 4 qt vs 6 qt air fryer performance; 4 qt vs 6 qt air fryer price; 4 qt vs 6 qt air fryer pros and cons</x:v>
      </x:c>
      <x:c r="G65" s="95" t="str">
        <x:v>Commercial Investigation</x:v>
      </x:c>
      <x:c r="H65" s="95" t="str">
        <x:v>BOFU</x:v>
      </x:c>
      <x:c r="I65" s="95" t="str">
        <x:v>/4-qt-vs-6-qt-air-fryer/</x:v>
      </x:c>
      <x:c r="J65" s="95" t="str">
        <x:v>AF-PIL</x:v>
      </x:c>
      <x:c r="K65" s="95" t="str"/>
      <x:c r="L65" s="95" t="str"/>
      <x:c r="M65" s="95" t="str">
        <x:v>Validate top 10 results, weak domains, content format, freshness and shopping features before briefing.</x:v>
      </x:c>
      <x:c r="N65" s="95" t="str">
        <x:v>Required for model-specific reviews and roundups</x:v>
      </x:c>
      <x:c r="O65" s="101" t="str">
        <x:v>Not Started</x:v>
      </x:c>
    </x:row>
    <x:row r="66">
      <x:c r="A66" s="100" t="str">
        <x:v>AF-C06</x:v>
      </x:c>
      <x:c r="B66" s="95" t="str">
        <x:v>P2</x:v>
      </x:c>
      <x:c r="C66" s="95" t="str">
        <x:v>Air Fryers</x:v>
      </x:c>
      <x:c r="D66" s="95" t="str">
        <x:v>Comparison</x:v>
      </x:c>
      <x:c r="E66" s="95" t="str">
        <x:v>air fryer vs convection oven</x:v>
      </x:c>
      <x:c r="F66" s="95" t="str">
        <x:v>air fryer vs convection oven differences; air fryer vs convection oven which is better; air fryer vs convection oven performance; air fryer vs convection oven price; air fryer vs convection oven pros and cons</x:v>
      </x:c>
      <x:c r="G66" s="95" t="str">
        <x:v>Commercial Investigation</x:v>
      </x:c>
      <x:c r="H66" s="95" t="str">
        <x:v>BOFU</x:v>
      </x:c>
      <x:c r="I66" s="95" t="str">
        <x:v>/air-fryer-vs-convection-oven/</x:v>
      </x:c>
      <x:c r="J66" s="95" t="str">
        <x:v>AF-PIL</x:v>
      </x:c>
      <x:c r="K66" s="95" t="str"/>
      <x:c r="L66" s="95" t="str"/>
      <x:c r="M66" s="95" t="str">
        <x:v>Validate top 10 results, weak domains, content format, freshness and shopping features before briefing.</x:v>
      </x:c>
      <x:c r="N66" s="95" t="str">
        <x:v>Required for model-specific reviews and roundups</x:v>
      </x:c>
      <x:c r="O66" s="101" t="str">
        <x:v>Not Started</x:v>
      </x:c>
    </x:row>
    <x:row r="67">
      <x:c r="A67" s="100" t="str">
        <x:v>AF-C07</x:v>
      </x:c>
      <x:c r="B67" s="95" t="str">
        <x:v>P2</x:v>
      </x:c>
      <x:c r="C67" s="95" t="str">
        <x:v>Air Fryers</x:v>
      </x:c>
      <x:c r="D67" s="95" t="str">
        <x:v>Comparison</x:v>
      </x:c>
      <x:c r="E67" s="95" t="str">
        <x:v>air fryer vs toaster oven</x:v>
      </x:c>
      <x:c r="F67" s="95" t="str">
        <x:v>air fryer vs toaster oven differences; air fryer vs toaster oven which is better; air fryer vs toaster oven performance; air fryer vs toaster oven price; air fryer vs toaster oven pros and cons</x:v>
      </x:c>
      <x:c r="G67" s="95" t="str">
        <x:v>Commercial Investigation</x:v>
      </x:c>
      <x:c r="H67" s="95" t="str">
        <x:v>BOFU</x:v>
      </x:c>
      <x:c r="I67" s="95" t="str">
        <x:v>/air-fryer-vs-toaster-oven/</x:v>
      </x:c>
      <x:c r="J67" s="95" t="str">
        <x:v>AF-PIL</x:v>
      </x:c>
      <x:c r="K67" s="95" t="str"/>
      <x:c r="L67" s="95" t="str"/>
      <x:c r="M67" s="95" t="str">
        <x:v>Validate top 10 results, weak domains, content format, freshness and shopping features before briefing.</x:v>
      </x:c>
      <x:c r="N67" s="95" t="str">
        <x:v>Required for model-specific reviews and roundups</x:v>
      </x:c>
      <x:c r="O67" s="101" t="str">
        <x:v>Not Started</x:v>
      </x:c>
    </x:row>
    <x:row r="68">
      <x:c r="A68" s="100" t="str">
        <x:v>BL-C03</x:v>
      </x:c>
      <x:c r="B68" s="95" t="str">
        <x:v>P2</x:v>
      </x:c>
      <x:c r="C68" s="95" t="str">
        <x:v>Blenders</x:v>
      </x:c>
      <x:c r="D68" s="95" t="str">
        <x:v>Comparison</x:v>
      </x:c>
      <x:c r="E68" s="95" t="str">
        <x:v>personal blender vs full size blender</x:v>
      </x:c>
      <x:c r="F68" s="95" t="str">
        <x:v>personal blender vs full size blender differences; personal blender vs full size blender which is better; personal blender vs full size blender performance; personal blender vs full size blender price; personal blender vs full size blender pros and cons</x:v>
      </x:c>
      <x:c r="G68" s="95" t="str">
        <x:v>Commercial Investigation</x:v>
      </x:c>
      <x:c r="H68" s="95" t="str">
        <x:v>BOFU</x:v>
      </x:c>
      <x:c r="I68" s="95" t="str">
        <x:v>/personal-blender-vs-full-size-blender/</x:v>
      </x:c>
      <x:c r="J68" s="95" t="str">
        <x:v>BL-PIL</x:v>
      </x:c>
      <x:c r="K68" s="95" t="str"/>
      <x:c r="L68" s="95" t="str"/>
      <x:c r="M68" s="95" t="str">
        <x:v>Validate top 10 results, weak domains, content format, freshness and shopping features before briefing.</x:v>
      </x:c>
      <x:c r="N68" s="95" t="str">
        <x:v>Required for model-specific reviews and roundups</x:v>
      </x:c>
      <x:c r="O68" s="101" t="str">
        <x:v>Not Started</x:v>
      </x:c>
    </x:row>
    <x:row r="69">
      <x:c r="A69" s="100" t="str">
        <x:v>BL-C04</x:v>
      </x:c>
      <x:c r="B69" s="95" t="str">
        <x:v>P2</x:v>
      </x:c>
      <x:c r="C69" s="95" t="str">
        <x:v>Blenders</x:v>
      </x:c>
      <x:c r="D69" s="95" t="str">
        <x:v>Comparison</x:v>
      </x:c>
      <x:c r="E69" s="95" t="str">
        <x:v>glass vs plastic blender jar</x:v>
      </x:c>
      <x:c r="F69" s="95" t="str">
        <x:v>glass vs plastic blender jar differences; glass vs plastic blender jar which is better; glass vs plastic blender jar performance; glass vs plastic blender jar price; glass vs plastic blender jar pros and cons</x:v>
      </x:c>
      <x:c r="G69" s="95" t="str">
        <x:v>Commercial Investigation</x:v>
      </x:c>
      <x:c r="H69" s="95" t="str">
        <x:v>BOFU</x:v>
      </x:c>
      <x:c r="I69" s="95" t="str">
        <x:v>/glass-vs-plastic-blender-jar/</x:v>
      </x:c>
      <x:c r="J69" s="95" t="str">
        <x:v>BL-PIL</x:v>
      </x:c>
      <x:c r="K69" s="95" t="str"/>
      <x:c r="L69" s="95" t="str"/>
      <x:c r="M69" s="95" t="str">
        <x:v>Validate top 10 results, weak domains, content format, freshness and shopping features before briefing.</x:v>
      </x:c>
      <x:c r="N69" s="95" t="str">
        <x:v>Required for model-specific reviews and roundups</x:v>
      </x:c>
      <x:c r="O69" s="101" t="str">
        <x:v>Not Started</x:v>
      </x:c>
    </x:row>
    <x:row r="70">
      <x:c r="A70" s="100" t="str">
        <x:v>BL-C05</x:v>
      </x:c>
      <x:c r="B70" s="95" t="str">
        <x:v>P2</x:v>
      </x:c>
      <x:c r="C70" s="95" t="str">
        <x:v>Blenders</x:v>
      </x:c>
      <x:c r="D70" s="95" t="str">
        <x:v>Comparison</x:v>
      </x:c>
      <x:c r="E70" s="95" t="str">
        <x:v>1000 watt vs 1500 watt blender</x:v>
      </x:c>
      <x:c r="F70" s="95" t="str">
        <x:v>1000 watt vs 1500 watt blender differences; 1000 watt vs 1500 watt blender which is better; 1000 watt vs 1500 watt blender performance; 1000 watt vs 1500 watt blender price; 1000 watt vs 1500 watt blender pros and cons</x:v>
      </x:c>
      <x:c r="G70" s="95" t="str">
        <x:v>Commercial Investigation</x:v>
      </x:c>
      <x:c r="H70" s="95" t="str">
        <x:v>BOFU</x:v>
      </x:c>
      <x:c r="I70" s="95" t="str">
        <x:v>/1000-watt-vs-1500-watt-blender/</x:v>
      </x:c>
      <x:c r="J70" s="95" t="str">
        <x:v>BL-PIL</x:v>
      </x:c>
      <x:c r="K70" s="95" t="str"/>
      <x:c r="L70" s="95" t="str"/>
      <x:c r="M70" s="95" t="str">
        <x:v>Validate top 10 results, weak domains, content format, freshness and shopping features before briefing.</x:v>
      </x:c>
      <x:c r="N70" s="95" t="str">
        <x:v>Required for model-specific reviews and roundups</x:v>
      </x:c>
      <x:c r="O70" s="101" t="str">
        <x:v>Not Started</x:v>
      </x:c>
    </x:row>
    <x:row r="71">
      <x:c r="A71" s="100" t="str">
        <x:v>EK-C01</x:v>
      </x:c>
      <x:c r="B71" s="95" t="str">
        <x:v>P2</x:v>
      </x:c>
      <x:c r="C71" s="95" t="str">
        <x:v>Electric Kettles</x:v>
      </x:c>
      <x:c r="D71" s="95" t="str">
        <x:v>Comparison</x:v>
      </x:c>
      <x:c r="E71" s="95" t="str">
        <x:v>gooseneck vs regular kettle</x:v>
      </x:c>
      <x:c r="F71" s="95" t="str">
        <x:v>gooseneck vs regular kettle differences; gooseneck vs regular kettle which is better; gooseneck vs regular kettle performance; gooseneck vs regular kettle price; gooseneck vs regular kettle pros and cons</x:v>
      </x:c>
      <x:c r="G71" s="95" t="str">
        <x:v>Commercial Investigation</x:v>
      </x:c>
      <x:c r="H71" s="95" t="str">
        <x:v>BOFU</x:v>
      </x:c>
      <x:c r="I71" s="95" t="str">
        <x:v>/gooseneck-vs-regular-kettle/</x:v>
      </x:c>
      <x:c r="J71" s="95" t="str">
        <x:v>EK-PIL</x:v>
      </x:c>
      <x:c r="K71" s="95" t="str"/>
      <x:c r="L71" s="95" t="str"/>
      <x:c r="M71" s="95" t="str">
        <x:v>Validate top 10 results, weak domains, content format, freshness and shopping features before briefing.</x:v>
      </x:c>
      <x:c r="N71" s="95" t="str">
        <x:v>Required for model-specific reviews and roundups</x:v>
      </x:c>
      <x:c r="O71" s="101" t="str">
        <x:v>Not Started</x:v>
      </x:c>
    </x:row>
    <x:row r="72">
      <x:c r="A72" s="100" t="str">
        <x:v>EK-C04</x:v>
      </x:c>
      <x:c r="B72" s="95" t="str">
        <x:v>P2</x:v>
      </x:c>
      <x:c r="C72" s="95" t="str">
        <x:v>Electric Kettles</x:v>
      </x:c>
      <x:c r="D72" s="95" t="str">
        <x:v>Comparison</x:v>
      </x:c>
      <x:c r="E72" s="95" t="str">
        <x:v>electric kettle vs stovetop kettle</x:v>
      </x:c>
      <x:c r="F72" s="95" t="str">
        <x:v>electric kettle vs stovetop kettle differences; electric kettle vs stovetop kettle which is better; electric kettle vs stovetop kettle performance; electric kettle vs stovetop kettle price; electric kettle vs stovetop kettle pros and cons</x:v>
      </x:c>
      <x:c r="G72" s="95" t="str">
        <x:v>Commercial Investigation</x:v>
      </x:c>
      <x:c r="H72" s="95" t="str">
        <x:v>BOFU</x:v>
      </x:c>
      <x:c r="I72" s="95" t="str">
        <x:v>/electric-kettle-vs-stovetop-kettle/</x:v>
      </x:c>
      <x:c r="J72" s="95" t="str">
        <x:v>EK-PIL</x:v>
      </x:c>
      <x:c r="K72" s="95" t="str"/>
      <x:c r="L72" s="95" t="str"/>
      <x:c r="M72" s="95" t="str">
        <x:v>Validate top 10 results, weak domains, content format, freshness and shopping features before briefing.</x:v>
      </x:c>
      <x:c r="N72" s="95" t="str">
        <x:v>Required for model-specific reviews and roundups</x:v>
      </x:c>
      <x:c r="O72" s="101" t="str">
        <x:v>Not Started</x:v>
      </x:c>
    </x:row>
    <x:row r="73">
      <x:c r="A73" s="100" t="str">
        <x:v>FP-C03</x:v>
      </x:c>
      <x:c r="B73" s="95" t="str">
        <x:v>P2</x:v>
      </x:c>
      <x:c r="C73" s="95" t="str">
        <x:v>Food Processors</x:v>
      </x:c>
      <x:c r="D73" s="95" t="str">
        <x:v>Comparison</x:v>
      </x:c>
      <x:c r="E73" s="95" t="str">
        <x:v>food processor vs blender</x:v>
      </x:c>
      <x:c r="F73" s="95" t="str">
        <x:v>food processor vs blender differences; food processor vs blender which is better; food processor vs blender performance; food processor vs blender price; food processor vs blender pros and cons</x:v>
      </x:c>
      <x:c r="G73" s="95" t="str">
        <x:v>Commercial Investigation</x:v>
      </x:c>
      <x:c r="H73" s="95" t="str">
        <x:v>BOFU</x:v>
      </x:c>
      <x:c r="I73" s="95" t="str">
        <x:v>/food-processor-vs-blender/</x:v>
      </x:c>
      <x:c r="J73" s="95" t="str">
        <x:v>FP-PIL</x:v>
      </x:c>
      <x:c r="K73" s="95" t="str"/>
      <x:c r="L73" s="95" t="str"/>
      <x:c r="M73" s="95" t="str">
        <x:v>Validate top 10 results, weak domains, content format, freshness and shopping features before briefing.</x:v>
      </x:c>
      <x:c r="N73" s="95" t="str">
        <x:v>Required for model-specific reviews and roundups</x:v>
      </x:c>
      <x:c r="O73" s="101" t="str">
        <x:v>Not Started</x:v>
      </x:c>
    </x:row>
    <x:row r="74">
      <x:c r="A74" s="100" t="str">
        <x:v>TO-C01</x:v>
      </x:c>
      <x:c r="B74" s="95" t="str">
        <x:v>P2</x:v>
      </x:c>
      <x:c r="C74" s="95" t="str">
        <x:v>Toaster Ovens</x:v>
      </x:c>
      <x:c r="D74" s="95" t="str">
        <x:v>Comparison</x:v>
      </x:c>
      <x:c r="E74" s="95" t="str">
        <x:v>toaster oven vs conventional oven</x:v>
      </x:c>
      <x:c r="F74" s="95" t="str">
        <x:v>toaster oven vs conventional oven differences; toaster oven vs conventional oven which is better; toaster oven vs conventional oven performance; toaster oven vs conventional oven price; toaster oven vs conventional oven pros and cons</x:v>
      </x:c>
      <x:c r="G74" s="95" t="str">
        <x:v>Commercial Investigation</x:v>
      </x:c>
      <x:c r="H74" s="95" t="str">
        <x:v>BOFU</x:v>
      </x:c>
      <x:c r="I74" s="95" t="str">
        <x:v>/toaster-oven-vs-conventional-oven/</x:v>
      </x:c>
      <x:c r="J74" s="95" t="str">
        <x:v>TO-PIL</x:v>
      </x:c>
      <x:c r="K74" s="95" t="str"/>
      <x:c r="L74" s="95" t="str"/>
      <x:c r="M74" s="95" t="str">
        <x:v>Validate top 10 results, weak domains, content format, freshness and shopping features before briefing.</x:v>
      </x:c>
      <x:c r="N74" s="95" t="str">
        <x:v>Required for model-specific reviews and roundups</x:v>
      </x:c>
      <x:c r="O74" s="101" t="str">
        <x:v>Not Started</x:v>
      </x:c>
    </x:row>
    <x:row r="75">
      <x:c r="A75" s="100" t="str">
        <x:v>TO-C02</x:v>
      </x:c>
      <x:c r="B75" s="95" t="str">
        <x:v>P2</x:v>
      </x:c>
      <x:c r="C75" s="95" t="str">
        <x:v>Toaster Ovens</x:v>
      </x:c>
      <x:c r="D75" s="95" t="str">
        <x:v>Comparison</x:v>
      </x:c>
      <x:c r="E75" s="95" t="str">
        <x:v>convection toaster oven vs air fryer</x:v>
      </x:c>
      <x:c r="F75" s="95" t="str">
        <x:v>convection toaster oven vs air fryer differences; convection toaster oven vs air fryer which is better; convection toaster oven vs air fryer performance; convection toaster oven vs air fryer price; convection toaster oven vs air fryer pros and cons</x:v>
      </x:c>
      <x:c r="G75" s="95" t="str">
        <x:v>Commercial Investigation</x:v>
      </x:c>
      <x:c r="H75" s="95" t="str">
        <x:v>BOFU</x:v>
      </x:c>
      <x:c r="I75" s="95" t="str">
        <x:v>/convection-toaster-oven-vs-air-fryer/</x:v>
      </x:c>
      <x:c r="J75" s="95" t="str">
        <x:v>TO-PIL</x:v>
      </x:c>
      <x:c r="K75" s="95" t="str"/>
      <x:c r="L75" s="95" t="str"/>
      <x:c r="M75" s="95" t="str">
        <x:v>Validate top 10 results, weak domains, content format, freshness and shopping features before briefing.</x:v>
      </x:c>
      <x:c r="N75" s="95" t="str">
        <x:v>Required for model-specific reviews and roundups</x:v>
      </x:c>
      <x:c r="O75" s="101" t="str">
        <x:v>Not Started</x:v>
      </x:c>
    </x:row>
    <x:row r="76">
      <x:c r="A76" s="100" t="str">
        <x:v>AF-V03</x:v>
      </x:c>
      <x:c r="B76" s="95" t="str">
        <x:v>P2</x:v>
      </x:c>
      <x:c r="C76" s="95" t="str">
        <x:v>Air Fryers</x:v>
      </x:c>
      <x:c r="D76" s="95" t="str">
        <x:v>Single Review</x:v>
      </x:c>
      <x:c r="E76" s="95" t="str">
        <x:v>instant vortex plus air fryer review</x:v>
      </x:c>
      <x:c r="F76" s="95" t="str">
        <x:v>instant vortex plus air fryer pros and cons; is instant vortex plus air fryer worth it; instant vortex plus air fryer alternatives; instant vortex plus air fryer performance; instant vortex plus air fryer specifications</x:v>
      </x:c>
      <x:c r="G76" s="95" t="str">
        <x:v>Commercial Investigation</x:v>
      </x:c>
      <x:c r="H76" s="95" t="str">
        <x:v>BOFU</x:v>
      </x:c>
      <x:c r="I76" s="95" t="str">
        <x:v>/instant-vortex-plus-air-fryer-review/</x:v>
      </x:c>
      <x:c r="J76" s="95" t="str">
        <x:v>AF-PIL</x:v>
      </x:c>
      <x:c r="K76" s="95" t="str"/>
      <x:c r="L76" s="95" t="str"/>
      <x:c r="M76" s="95" t="str">
        <x:v>Validate top 10 results, weak domains, content format, freshness and shopping features before briefing.</x:v>
      </x:c>
      <x:c r="N76" s="95" t="str">
        <x:v>Required for model-specific reviews and roundups</x:v>
      </x:c>
      <x:c r="O76" s="101" t="str">
        <x:v>Not Started</x:v>
      </x:c>
    </x:row>
    <x:row r="77">
      <x:c r="A77" s="100" t="str">
        <x:v>AF-V04</x:v>
      </x:c>
      <x:c r="B77" s="95" t="str">
        <x:v>P2</x:v>
      </x:c>
      <x:c r="C77" s="95" t="str">
        <x:v>Air Fryers</x:v>
      </x:c>
      <x:c r="D77" s="95" t="str">
        <x:v>Single Review</x:v>
      </x:c>
      <x:c r="E77" s="95" t="str">
        <x:v>ninja foodi dualzone review</x:v>
      </x:c>
      <x:c r="F77" s="95" t="str">
        <x:v>ninja foodi dualzone pros and cons; is ninja foodi dualzone worth it; ninja foodi dualzone alternatives; ninja foodi dualzone performance; ninja foodi dualzone specifications</x:v>
      </x:c>
      <x:c r="G77" s="95" t="str">
        <x:v>Commercial Investigation</x:v>
      </x:c>
      <x:c r="H77" s="95" t="str">
        <x:v>BOFU</x:v>
      </x:c>
      <x:c r="I77" s="95" t="str">
        <x:v>/ninja-foodi-dualzone-review/</x:v>
      </x:c>
      <x:c r="J77" s="95" t="str">
        <x:v>AF-PIL</x:v>
      </x:c>
      <x:c r="K77" s="95" t="str"/>
      <x:c r="L77" s="95" t="str"/>
      <x:c r="M77" s="95" t="str">
        <x:v>Validate top 10 results, weak domains, content format, freshness and shopping features before briefing.</x:v>
      </x:c>
      <x:c r="N77" s="95" t="str">
        <x:v>Required for model-specific reviews and roundups</x:v>
      </x:c>
      <x:c r="O77" s="101" t="str">
        <x:v>Not Started</x:v>
      </x:c>
    </x:row>
    <x:row r="78">
      <x:c r="A78" s="100" t="str">
        <x:v>AF-V05</x:v>
      </x:c>
      <x:c r="B78" s="95" t="str">
        <x:v>P2</x:v>
      </x:c>
      <x:c r="C78" s="95" t="str">
        <x:v>Air Fryers</x:v>
      </x:c>
      <x:c r="D78" s="95" t="str">
        <x:v>Single Review</x:v>
      </x:c>
      <x:c r="E78" s="95" t="str">
        <x:v>cuisinart air fryer toaster oven review</x:v>
      </x:c>
      <x:c r="F78" s="95" t="str">
        <x:v>cuisinart air fryer toaster oven pros and cons; is cuisinart air fryer toaster oven worth it; cuisinart air fryer toaster oven alternatives; cuisinart air fryer toaster oven performance; cuisinart air fryer toaster oven specifications</x:v>
      </x:c>
      <x:c r="G78" s="95" t="str">
        <x:v>Commercial Investigation</x:v>
      </x:c>
      <x:c r="H78" s="95" t="str">
        <x:v>BOFU</x:v>
      </x:c>
      <x:c r="I78" s="95" t="str">
        <x:v>/cuisinart-air-fryer-toaster-oven-review/</x:v>
      </x:c>
      <x:c r="J78" s="95" t="str">
        <x:v>AF-PIL</x:v>
      </x:c>
      <x:c r="K78" s="95" t="str"/>
      <x:c r="L78" s="95" t="str"/>
      <x:c r="M78" s="95" t="str">
        <x:v>Validate top 10 results, weak domains, content format, freshness and shopping features before briefing.</x:v>
      </x:c>
      <x:c r="N78" s="95" t="str">
        <x:v>Required for model-specific reviews and roundups</x:v>
      </x:c>
      <x:c r="O78" s="101" t="str">
        <x:v>Not Started</x:v>
      </x:c>
    </x:row>
    <x:row r="79">
      <x:c r="A79" s="100" t="str">
        <x:v>BL-V03</x:v>
      </x:c>
      <x:c r="B79" s="95" t="str">
        <x:v>P2</x:v>
      </x:c>
      <x:c r="C79" s="95" t="str">
        <x:v>Blenders</x:v>
      </x:c>
      <x:c r="D79" s="95" t="str">
        <x:v>Single Review</x:v>
      </x:c>
      <x:c r="E79" s="95" t="str">
        <x:v>vitamix e310 review</x:v>
      </x:c>
      <x:c r="F79" s="95" t="str">
        <x:v>vitamix e310 pros and cons; is vitamix e310 worth it; vitamix e310 alternatives; vitamix e310 performance; vitamix e310 specifications</x:v>
      </x:c>
      <x:c r="G79" s="95" t="str">
        <x:v>Commercial Investigation</x:v>
      </x:c>
      <x:c r="H79" s="95" t="str">
        <x:v>BOFU</x:v>
      </x:c>
      <x:c r="I79" s="95" t="str">
        <x:v>/vitamix-e310-review/</x:v>
      </x:c>
      <x:c r="J79" s="95" t="str">
        <x:v>BL-PIL</x:v>
      </x:c>
      <x:c r="K79" s="95" t="str"/>
      <x:c r="L79" s="95" t="str"/>
      <x:c r="M79" s="95" t="str">
        <x:v>Validate top 10 results, weak domains, content format, freshness and shopping features before briefing.</x:v>
      </x:c>
      <x:c r="N79" s="95" t="str">
        <x:v>Required for model-specific reviews and roundups</x:v>
      </x:c>
      <x:c r="O79" s="101" t="str">
        <x:v>Not Started</x:v>
      </x:c>
    </x:row>
    <x:row r="80">
      <x:c r="A80" s="100" t="str">
        <x:v>BL-V04</x:v>
      </x:c>
      <x:c r="B80" s="95" t="str">
        <x:v>P2</x:v>
      </x:c>
      <x:c r="C80" s="95" t="str">
        <x:v>Blenders</x:v>
      </x:c>
      <x:c r="D80" s="95" t="str">
        <x:v>Single Review</x:v>
      </x:c>
      <x:c r="E80" s="95" t="str">
        <x:v>ninja foodi power blender review</x:v>
      </x:c>
      <x:c r="F80" s="95" t="str">
        <x:v>ninja foodi power blender pros and cons; is ninja foodi power blender worth it; ninja foodi power blender alternatives; ninja foodi power blender performance; ninja foodi power blender specifications</x:v>
      </x:c>
      <x:c r="G80" s="95" t="str">
        <x:v>Commercial Investigation</x:v>
      </x:c>
      <x:c r="H80" s="95" t="str">
        <x:v>BOFU</x:v>
      </x:c>
      <x:c r="I80" s="95" t="str">
        <x:v>/ninja-foodi-power-blender-review/</x:v>
      </x:c>
      <x:c r="J80" s="95" t="str">
        <x:v>BL-PIL</x:v>
      </x:c>
      <x:c r="K80" s="95" t="str"/>
      <x:c r="L80" s="95" t="str"/>
      <x:c r="M80" s="95" t="str">
        <x:v>Validate top 10 results, weak domains, content format, freshness and shopping features before briefing.</x:v>
      </x:c>
      <x:c r="N80" s="95" t="str">
        <x:v>Required for model-specific reviews and roundups</x:v>
      </x:c>
      <x:c r="O80" s="101" t="str">
        <x:v>Not Started</x:v>
      </x:c>
    </x:row>
    <x:row r="81">
      <x:c r="A81" s="100" t="str">
        <x:v>EK-V01</x:v>
      </x:c>
      <x:c r="B81" s="95" t="str">
        <x:v>P2</x:v>
      </x:c>
      <x:c r="C81" s="95" t="str">
        <x:v>Electric Kettles</x:v>
      </x:c>
      <x:c r="D81" s="95" t="str">
        <x:v>Single Review</x:v>
      </x:c>
      <x:c r="E81" s="95" t="str">
        <x:v>fellow stagg ekg review</x:v>
      </x:c>
      <x:c r="F81" s="95" t="str">
        <x:v>fellow stagg ekg pros and cons; is fellow stagg ekg worth it; fellow stagg ekg alternatives; fellow stagg ekg performance; fellow stagg ekg specifications</x:v>
      </x:c>
      <x:c r="G81" s="95" t="str">
        <x:v>Commercial Investigation</x:v>
      </x:c>
      <x:c r="H81" s="95" t="str">
        <x:v>BOFU</x:v>
      </x:c>
      <x:c r="I81" s="95" t="str">
        <x:v>/fellow-stagg-ekg-review/</x:v>
      </x:c>
      <x:c r="J81" s="95" t="str">
        <x:v>EK-PIL</x:v>
      </x:c>
      <x:c r="K81" s="95" t="str"/>
      <x:c r="L81" s="95" t="str"/>
      <x:c r="M81" s="95" t="str">
        <x:v>Validate top 10 results, weak domains, content format, freshness and shopping features before briefing.</x:v>
      </x:c>
      <x:c r="N81" s="95" t="str">
        <x:v>Required for model-specific reviews and roundups</x:v>
      </x:c>
      <x:c r="O81" s="101" t="str">
        <x:v>Not Started</x:v>
      </x:c>
    </x:row>
    <x:row r="82">
      <x:c r="A82" s="100" t="str">
        <x:v>TO-V01</x:v>
      </x:c>
      <x:c r="B82" s="95" t="str">
        <x:v>P2</x:v>
      </x:c>
      <x:c r="C82" s="95" t="str">
        <x:v>Toaster Ovens</x:v>
      </x:c>
      <x:c r="D82" s="95" t="str">
        <x:v>Single Review</x:v>
      </x:c>
      <x:c r="E82" s="95" t="str">
        <x:v>breville smart oven air fryer pro review</x:v>
      </x:c>
      <x:c r="F82" s="95" t="str">
        <x:v>breville smart oven air fryer pro pros and cons; is breville smart oven air fryer pro worth it; breville smart oven air fryer pro alternatives; breville smart oven air fryer pro performance; breville smart oven air fryer pro specifications</x:v>
      </x:c>
      <x:c r="G82" s="95" t="str">
        <x:v>Commercial Investigation</x:v>
      </x:c>
      <x:c r="H82" s="95" t="str">
        <x:v>BOFU</x:v>
      </x:c>
      <x:c r="I82" s="95" t="str">
        <x:v>/breville-smart-oven-air-fryer-pro-review/</x:v>
      </x:c>
      <x:c r="J82" s="95" t="str">
        <x:v>TO-PIL</x:v>
      </x:c>
      <x:c r="K82" s="95" t="str"/>
      <x:c r="L82" s="95" t="str"/>
      <x:c r="M82" s="95" t="str">
        <x:v>Validate top 10 results, weak domains, content format, freshness and shopping features before briefing.</x:v>
      </x:c>
      <x:c r="N82" s="95" t="str">
        <x:v>Required for model-specific reviews and roundups</x:v>
      </x:c>
      <x:c r="O82" s="101" t="str">
        <x:v>Not Started</x:v>
      </x:c>
    </x:row>
    <x:row r="83">
      <x:c r="A83" s="100" t="str">
        <x:v>BL-G03</x:v>
      </x:c>
      <x:c r="B83" s="95" t="str">
        <x:v>P2</x:v>
      </x:c>
      <x:c r="C83" s="95" t="str">
        <x:v>Blenders</x:v>
      </x:c>
      <x:c r="D83" s="95" t="str">
        <x:v>Buying Guide</x:v>
      </x:c>
      <x:c r="E83" s="95" t="str">
        <x:v>how to choose a blender for smoothies</x:v>
      </x:c>
      <x:c r="F83" s="95" t="str">
        <x:v>how to choose how to choose a blender for smoothies; how to choose a blender for smoothies features; how to choose a blender for smoothies size; how to choose a blender for smoothies wattage; how to choose a blender for smoothies checklist</x:v>
      </x:c>
      <x:c r="G83" s="95" t="str">
        <x:v>Informational</x:v>
      </x:c>
      <x:c r="H83" s="95" t="str">
        <x:v>TOFU/MOFU</x:v>
      </x:c>
      <x:c r="I83" s="95" t="str">
        <x:v>/how-to-choose-a-blender-for-smoothies/</x:v>
      </x:c>
      <x:c r="J83" s="95" t="str">
        <x:v>BL-HUB</x:v>
      </x:c>
      <x:c r="K83" s="95" t="str"/>
      <x:c r="L83" s="95" t="str"/>
      <x:c r="M83" s="95" t="str">
        <x:v>Validate top 10 results, weak domains, content format, freshness and shopping features before briefing.</x:v>
      </x:c>
      <x:c r="N83" s="95" t="str">
        <x:v>Required for model-specific reviews and roundups</x:v>
      </x:c>
      <x:c r="O83" s="101" t="str">
        <x:v>Not Started</x:v>
      </x:c>
    </x:row>
    <x:row r="84">
      <x:c r="A84" s="100" t="str">
        <x:v>CC-G04</x:v>
      </x:c>
      <x:c r="B84" s="95" t="str">
        <x:v>P2</x:v>
      </x:c>
      <x:c r="C84" s="95" t="str">
        <x:v>Cross-Category</x:v>
      </x:c>
      <x:c r="D84" s="95" t="str">
        <x:v>Buying Guide</x:v>
      </x:c>
      <x:c r="E84" s="95" t="str">
        <x:v>food safe kitchen appliance materials</x:v>
      </x:c>
      <x:c r="F84" s="95" t="str">
        <x:v>how to choose food safe kitchen appliance materials; food safe kitchen appliance materials features; food safe kitchen appliance materials size; food safe kitchen appliance materials wattage; food safe kitchen appliance materials checklist</x:v>
      </x:c>
      <x:c r="G84" s="95" t="str">
        <x:v>Informational</x:v>
      </x:c>
      <x:c r="H84" s="95" t="str">
        <x:v>TOFU/MOFU</x:v>
      </x:c>
      <x:c r="I84" s="95" t="str">
        <x:v>/food-safe-appliance-materials/</x:v>
      </x:c>
      <x:c r="J84" s="95" t="str"/>
      <x:c r="K84" s="95" t="str"/>
      <x:c r="L84" s="95" t="str"/>
      <x:c r="M84" s="95" t="str">
        <x:v>Validate top 10 results, weak domains, content format, freshness and shopping features before briefing.</x:v>
      </x:c>
      <x:c r="N84" s="95" t="str">
        <x:v>Required for model-specific reviews and roundups</x:v>
      </x:c>
      <x:c r="O84" s="101" t="str">
        <x:v>Not Started</x:v>
      </x:c>
    </x:row>
    <x:row r="85">
      <x:c r="A85" s="100" t="str">
        <x:v>EK-G01</x:v>
      </x:c>
      <x:c r="B85" s="95" t="str">
        <x:v>P2</x:v>
      </x:c>
      <x:c r="C85" s="95" t="str">
        <x:v>Electric Kettles</x:v>
      </x:c>
      <x:c r="D85" s="95" t="str">
        <x:v>Buying Guide</x:v>
      </x:c>
      <x:c r="E85" s="95" t="str">
        <x:v>electric kettle buying guide</x:v>
      </x:c>
      <x:c r="F85" s="95" t="str">
        <x:v>how to choose electric kettle; electric kettle buying guide features; electric kettle buying guide size; electric kettle buying guide wattage; electric kettle buying guide checklist</x:v>
      </x:c>
      <x:c r="G85" s="95" t="str">
        <x:v>Informational</x:v>
      </x:c>
      <x:c r="H85" s="95" t="str">
        <x:v>TOFU/MOFU</x:v>
      </x:c>
      <x:c r="I85" s="95" t="str">
        <x:v>/electric-kettle-buying-guide/</x:v>
      </x:c>
      <x:c r="J85" s="95" t="str">
        <x:v>EK-HUB</x:v>
      </x:c>
      <x:c r="K85" s="95" t="str"/>
      <x:c r="L85" s="95" t="str"/>
      <x:c r="M85" s="95" t="str">
        <x:v>Validate top 10 results, weak domains, content format, freshness and shopping features before briefing.</x:v>
      </x:c>
      <x:c r="N85" s="95" t="str">
        <x:v>Required for model-specific reviews and roundups</x:v>
      </x:c>
      <x:c r="O85" s="101" t="str">
        <x:v>Not Started</x:v>
      </x:c>
    </x:row>
    <x:row r="86">
      <x:c r="A86" s="100" t="str">
        <x:v>TO-G01</x:v>
      </x:c>
      <x:c r="B86" s="95" t="str">
        <x:v>P2</x:v>
      </x:c>
      <x:c r="C86" s="95" t="str">
        <x:v>Toaster Ovens</x:v>
      </x:c>
      <x:c r="D86" s="95" t="str">
        <x:v>Buying Guide</x:v>
      </x:c>
      <x:c r="E86" s="95" t="str">
        <x:v>toaster oven buying guide</x:v>
      </x:c>
      <x:c r="F86" s="95" t="str">
        <x:v>how to choose toaster oven; toaster oven buying guide features; toaster oven buying guide size; toaster oven buying guide wattage; toaster oven buying guide checklist</x:v>
      </x:c>
      <x:c r="G86" s="95" t="str">
        <x:v>Informational</x:v>
      </x:c>
      <x:c r="H86" s="95" t="str">
        <x:v>TOFU/MOFU</x:v>
      </x:c>
      <x:c r="I86" s="95" t="str">
        <x:v>/toaster-oven-buying-guide/</x:v>
      </x:c>
      <x:c r="J86" s="95" t="str">
        <x:v>TO-HUB</x:v>
      </x:c>
      <x:c r="K86" s="95" t="str"/>
      <x:c r="L86" s="95" t="str"/>
      <x:c r="M86" s="95" t="str">
        <x:v>Validate top 10 results, weak domains, content format, freshness and shopping features before briefing.</x:v>
      </x:c>
      <x:c r="N86" s="95" t="str">
        <x:v>Required for model-specific reviews and roundups</x:v>
      </x:c>
      <x:c r="O86" s="101" t="str">
        <x:v>Not Started</x:v>
      </x:c>
    </x:row>
    <x:row r="87">
      <x:c r="A87" s="100" t="str">
        <x:v>AF-R20</x:v>
      </x:c>
      <x:c r="B87" s="95" t="str">
        <x:v>P2</x:v>
      </x:c>
      <x:c r="C87" s="95" t="str">
        <x:v>Air Fryers</x:v>
      </x:c>
      <x:c r="D87" s="95" t="str">
        <x:v>Accessory Roundup</x:v>
      </x:c>
      <x:c r="E87" s="95" t="str">
        <x:v>best air fryer accessories</x:v>
      </x:c>
      <x:c r="F87" s="95" t="str">
        <x:v>best air fryer accessories reviews; best air fryer accessories comparison; best air fryer accessories buying guide; best air fryer accessories for the money; top rated air fryer accessories</x:v>
      </x:c>
      <x:c r="G87" s="95" t="str">
        <x:v>Commercial Investigation</x:v>
      </x:c>
      <x:c r="H87" s="95" t="str">
        <x:v>BOFU</x:v>
      </x:c>
      <x:c r="I87" s="95" t="str">
        <x:v>/best-air-fryer-accessories/</x:v>
      </x:c>
      <x:c r="J87" s="95" t="str">
        <x:v>AF-PIL</x:v>
      </x:c>
      <x:c r="K87" s="95" t="str"/>
      <x:c r="L87" s="95" t="str"/>
      <x:c r="M87" s="95" t="str">
        <x:v>Validate top 10 results, weak domains, content format, freshness and shopping features before briefing.</x:v>
      </x:c>
      <x:c r="N87" s="95" t="str">
        <x:v>Required for model-specific reviews and roundups</x:v>
      </x:c>
      <x:c r="O87" s="101" t="str">
        <x:v>Not Started</x:v>
      </x:c>
    </x:row>
    <x:row r="88">
      <x:c r="A88" s="100" t="str">
        <x:v>CC-G06</x:v>
      </x:c>
      <x:c r="B88" s="95" t="str">
        <x:v>P2</x:v>
      </x:c>
      <x:c r="C88" s="95" t="str">
        <x:v>Cross-Category</x:v>
      </x:c>
      <x:c r="D88" s="95" t="str">
        <x:v>Accessory Roundup</x:v>
      </x:c>
      <x:c r="E88" s="95" t="str">
        <x:v>best heat resistant counter mat</x:v>
      </x:c>
      <x:c r="F88" s="95" t="str">
        <x:v>best heat resistant counter mat reviews; best heat resistant counter mat comparison; best heat resistant counter mat buying guide; best heat resistant counter mat for the money; top rated heat resistant counter mat</x:v>
      </x:c>
      <x:c r="G88" s="95" t="str">
        <x:v>Commercial Investigation</x:v>
      </x:c>
      <x:c r="H88" s="95" t="str">
        <x:v>BOFU</x:v>
      </x:c>
      <x:c r="I88" s="95" t="str">
        <x:v>/best-heat-resistant-counter-mats/</x:v>
      </x:c>
      <x:c r="J88" s="95" t="str"/>
      <x:c r="K88" s="95" t="str"/>
      <x:c r="L88" s="95" t="str"/>
      <x:c r="M88" s="95" t="str">
        <x:v>Validate top 10 results, weak domains, content format, freshness and shopping features before briefing.</x:v>
      </x:c>
      <x:c r="N88" s="95" t="str">
        <x:v>Required for model-specific reviews and roundups</x:v>
      </x:c>
      <x:c r="O88" s="101" t="str">
        <x:v>Not Started</x:v>
      </x:c>
    </x:row>
    <x:row r="89">
      <x:c r="A89" s="100" t="str">
        <x:v>AF-G03</x:v>
      </x:c>
      <x:c r="B89" s="95" t="str">
        <x:v>P2</x:v>
      </x:c>
      <x:c r="C89" s="95" t="str">
        <x:v>Air Fryers</x:v>
      </x:c>
      <x:c r="D89" s="95" t="str">
        <x:v>Informational</x:v>
      </x:c>
      <x:c r="E89" s="95" t="str">
        <x:v>how many watts does an air fryer use</x:v>
      </x:c>
      <x:c r="F89" s="95" t="str">
        <x:v>how many watts does an air fryer use explained; how many watts does an air fryer use guide; how many watts does an air fryer use FAQ; how many watts does an air fryer use tips; how many watts does an air fryer use common mistakes</x:v>
      </x:c>
      <x:c r="G89" s="95" t="str">
        <x:v>Informational</x:v>
      </x:c>
      <x:c r="H89" s="95" t="str">
        <x:v>TOFU/MOFU</x:v>
      </x:c>
      <x:c r="I89" s="95" t="str">
        <x:v>/how-many-watts-does-an-air-fryer-use/</x:v>
      </x:c>
      <x:c r="J89" s="95" t="str">
        <x:v>AF-HUB</x:v>
      </x:c>
      <x:c r="K89" s="95" t="str"/>
      <x:c r="L89" s="95" t="str"/>
      <x:c r="M89" s="95" t="str">
        <x:v>Validate top 10 results, weak domains, content format, freshness and shopping features before briefing.</x:v>
      </x:c>
      <x:c r="N89" s="95" t="str">
        <x:v>Required for model-specific reviews and roundups</x:v>
      </x:c>
      <x:c r="O89" s="101" t="str">
        <x:v>Not Started</x:v>
      </x:c>
    </x:row>
    <x:row r="90">
      <x:c r="A90" s="100" t="str">
        <x:v>AF-G04</x:v>
      </x:c>
      <x:c r="B90" s="95" t="str">
        <x:v>P2</x:v>
      </x:c>
      <x:c r="C90" s="95" t="str">
        <x:v>Air Fryers</x:v>
      </x:c>
      <x:c r="D90" s="95" t="str">
        <x:v>Informational</x:v>
      </x:c>
      <x:c r="E90" s="95" t="str">
        <x:v>do you need to preheat an air fryer</x:v>
      </x:c>
      <x:c r="F90" s="95" t="str">
        <x:v>do you need to preheat an air fryer explained; do you need to preheat an air fryer guide; do you need to preheat an air fryer FAQ; do you need to preheat an air fryer tips; do you need to preheat an air fryer common mistakes</x:v>
      </x:c>
      <x:c r="G90" s="95" t="str">
        <x:v>Informational</x:v>
      </x:c>
      <x:c r="H90" s="95" t="str">
        <x:v>TOFU/MOFU</x:v>
      </x:c>
      <x:c r="I90" s="95" t="str">
        <x:v>/do-you-need-to-preheat-an-air-fryer/</x:v>
      </x:c>
      <x:c r="J90" s="95" t="str">
        <x:v>AF-HUB</x:v>
      </x:c>
      <x:c r="K90" s="95" t="str"/>
      <x:c r="L90" s="95" t="str"/>
      <x:c r="M90" s="95" t="str">
        <x:v>Validate top 10 results, weak domains, content format, freshness and shopping features before briefing.</x:v>
      </x:c>
      <x:c r="N90" s="95" t="str">
        <x:v>Required for model-specific reviews and roundups</x:v>
      </x:c>
      <x:c r="O90" s="101" t="str">
        <x:v>Not Started</x:v>
      </x:c>
    </x:row>
    <x:row r="91">
      <x:c r="A91" s="100" t="str">
        <x:v>AF-G05</x:v>
      </x:c>
      <x:c r="B91" s="95" t="str">
        <x:v>P2</x:v>
      </x:c>
      <x:c r="C91" s="95" t="str">
        <x:v>Air Fryers</x:v>
      </x:c>
      <x:c r="D91" s="95" t="str">
        <x:v>Informational</x:v>
      </x:c>
      <x:c r="E91" s="95" t="str">
        <x:v>can you put foil in an air fryer</x:v>
      </x:c>
      <x:c r="F91" s="95" t="str">
        <x:v>can you put foil in an air fryer explained; can you put foil in an air fryer guide; can you put foil in an air fryer FAQ; can you put foil in an air fryer tips; can you put foil in an air fryer common mistakes</x:v>
      </x:c>
      <x:c r="G91" s="95" t="str">
        <x:v>Informational</x:v>
      </x:c>
      <x:c r="H91" s="95" t="str">
        <x:v>TOFU/MOFU</x:v>
      </x:c>
      <x:c r="I91" s="95" t="str">
        <x:v>/can-you-put-foil-in-an-air-fryer/</x:v>
      </x:c>
      <x:c r="J91" s="95" t="str">
        <x:v>AF-HUB</x:v>
      </x:c>
      <x:c r="K91" s="95" t="str"/>
      <x:c r="L91" s="95" t="str"/>
      <x:c r="M91" s="95" t="str">
        <x:v>Validate top 10 results, weak domains, content format, freshness and shopping features before briefing.</x:v>
      </x:c>
      <x:c r="N91" s="95" t="str">
        <x:v>Required for model-specific reviews and roundups</x:v>
      </x:c>
      <x:c r="O91" s="101" t="str">
        <x:v>Not Started</x:v>
      </x:c>
    </x:row>
    <x:row r="92">
      <x:c r="A92" s="100" t="str">
        <x:v>AF-G06</x:v>
      </x:c>
      <x:c r="B92" s="95" t="str">
        <x:v>P2</x:v>
      </x:c>
      <x:c r="C92" s="95" t="str">
        <x:v>Air Fryers</x:v>
      </x:c>
      <x:c r="D92" s="95" t="str">
        <x:v>Informational</x:v>
      </x:c>
      <x:c r="E92" s="95" t="str">
        <x:v>can you put parchment paper in an air fryer</x:v>
      </x:c>
      <x:c r="F92" s="95" t="str">
        <x:v>can you put parchment paper in an air fryer explained; can you put parchment paper in an air fryer guide; can you put parchment paper in an air fryer FAQ; can you put parchment paper in an air fryer tips; can you put parchment paper in an air fryer common mistakes</x:v>
      </x:c>
      <x:c r="G92" s="95" t="str">
        <x:v>Informational</x:v>
      </x:c>
      <x:c r="H92" s="95" t="str">
        <x:v>TOFU/MOFU</x:v>
      </x:c>
      <x:c r="I92" s="95" t="str">
        <x:v>/can-you-put-parchment-paper-in-an-air-fryer/</x:v>
      </x:c>
      <x:c r="J92" s="95" t="str">
        <x:v>AF-HUB</x:v>
      </x:c>
      <x:c r="K92" s="95" t="str"/>
      <x:c r="L92" s="95" t="str"/>
      <x:c r="M92" s="95" t="str">
        <x:v>Validate top 10 results, weak domains, content format, freshness and shopping features before briefing.</x:v>
      </x:c>
      <x:c r="N92" s="95" t="str">
        <x:v>Required for model-specific reviews and roundups</x:v>
      </x:c>
      <x:c r="O92" s="101" t="str">
        <x:v>Not Started</x:v>
      </x:c>
    </x:row>
    <x:row r="93">
      <x:c r="A93" s="100" t="str">
        <x:v>AF-G09</x:v>
      </x:c>
      <x:c r="B93" s="95" t="str">
        <x:v>P2</x:v>
      </x:c>
      <x:c r="C93" s="95" t="str">
        <x:v>Air Fryers</x:v>
      </x:c>
      <x:c r="D93" s="95" t="str">
        <x:v>Informational</x:v>
      </x:c>
      <x:c r="E93" s="95" t="str">
        <x:v>are air fryers worth it</x:v>
      </x:c>
      <x:c r="F93" s="95" t="str">
        <x:v>are air fryers worth it explained; are air fryers worth it guide; are air fryers worth it FAQ; are air fryers worth it tips; are air fryers worth it common mistakes</x:v>
      </x:c>
      <x:c r="G93" s="95" t="str">
        <x:v>Informational</x:v>
      </x:c>
      <x:c r="H93" s="95" t="str">
        <x:v>TOFU/MOFU</x:v>
      </x:c>
      <x:c r="I93" s="95" t="str">
        <x:v>/are-air-fryers-worth-it/</x:v>
      </x:c>
      <x:c r="J93" s="95" t="str">
        <x:v>AF-HUB</x:v>
      </x:c>
      <x:c r="K93" s="95" t="str"/>
      <x:c r="L93" s="95" t="str"/>
      <x:c r="M93" s="95" t="str">
        <x:v>Validate top 10 results, weak domains, content format, freshness and shopping features before briefing.</x:v>
      </x:c>
      <x:c r="N93" s="95" t="str">
        <x:v>Required for model-specific reviews and roundups</x:v>
      </x:c>
      <x:c r="O93" s="101" t="str">
        <x:v>Not Started</x:v>
      </x:c>
    </x:row>
    <x:row r="94">
      <x:c r="A94" s="100" t="str">
        <x:v>BL-G02</x:v>
      </x:c>
      <x:c r="B94" s="95" t="str">
        <x:v>P2</x:v>
      </x:c>
      <x:c r="C94" s="95" t="str">
        <x:v>Blenders</x:v>
      </x:c>
      <x:c r="D94" s="95" t="str">
        <x:v>Informational</x:v>
      </x:c>
      <x:c r="E94" s="95" t="str">
        <x:v>how many watts should a blender have</x:v>
      </x:c>
      <x:c r="F94" s="95" t="str">
        <x:v>how many watts should a blender have explained; how many watts should a blender have guide; how many watts should a blender have FAQ; how many watts should a blender have tips; how many watts should a blender have common mistakes</x:v>
      </x:c>
      <x:c r="G94" s="95" t="str">
        <x:v>Informational</x:v>
      </x:c>
      <x:c r="H94" s="95" t="str">
        <x:v>TOFU/MOFU</x:v>
      </x:c>
      <x:c r="I94" s="95" t="str">
        <x:v>/how-many-watts-should-a-blender-have/</x:v>
      </x:c>
      <x:c r="J94" s="95" t="str">
        <x:v>BL-HUB</x:v>
      </x:c>
      <x:c r="K94" s="95" t="str"/>
      <x:c r="L94" s="95" t="str"/>
      <x:c r="M94" s="95" t="str">
        <x:v>Validate top 10 results, weak domains, content format, freshness and shopping features before briefing.</x:v>
      </x:c>
      <x:c r="N94" s="95" t="str">
        <x:v>Required for model-specific reviews and roundups</x:v>
      </x:c>
      <x:c r="O94" s="101" t="str">
        <x:v>Not Started</x:v>
      </x:c>
    </x:row>
    <x:row r="95">
      <x:c r="A95" s="100" t="str">
        <x:v>BL-G07</x:v>
      </x:c>
      <x:c r="B95" s="95" t="str">
        <x:v>P2</x:v>
      </x:c>
      <x:c r="C95" s="95" t="str">
        <x:v>Blenders</x:v>
      </x:c>
      <x:c r="D95" s="95" t="str">
        <x:v>Informational</x:v>
      </x:c>
      <x:c r="E95" s="95" t="str">
        <x:v>can a blender crush ice</x:v>
      </x:c>
      <x:c r="F95" s="95" t="str">
        <x:v>can a blender crush ice explained; can a blender crush ice guide; can a blender crush ice FAQ; can a blender crush ice tips; can a blender crush ice common mistakes</x:v>
      </x:c>
      <x:c r="G95" s="95" t="str">
        <x:v>Informational</x:v>
      </x:c>
      <x:c r="H95" s="95" t="str">
        <x:v>TOFU/MOFU</x:v>
      </x:c>
      <x:c r="I95" s="95" t="str">
        <x:v>/can-a-blender-crush-ice/</x:v>
      </x:c>
      <x:c r="J95" s="95" t="str">
        <x:v>BL-HUB</x:v>
      </x:c>
      <x:c r="K95" s="95" t="str"/>
      <x:c r="L95" s="95" t="str"/>
      <x:c r="M95" s="95" t="str">
        <x:v>Validate top 10 results, weak domains, content format, freshness and shopping features before briefing.</x:v>
      </x:c>
      <x:c r="N95" s="95" t="str">
        <x:v>Required for model-specific reviews and roundups</x:v>
      </x:c>
      <x:c r="O95" s="101" t="str">
        <x:v>Not Started</x:v>
      </x:c>
    </x:row>
    <x:row r="96">
      <x:c r="A96" s="100" t="str">
        <x:v>BL-G08</x:v>
      </x:c>
      <x:c r="B96" s="95" t="str">
        <x:v>P2</x:v>
      </x:c>
      <x:c r="C96" s="95" t="str">
        <x:v>Blenders</x:v>
      </x:c>
      <x:c r="D96" s="95" t="str">
        <x:v>Informational</x:v>
      </x:c>
      <x:c r="E96" s="95" t="str">
        <x:v>can you put hot liquid in a blender</x:v>
      </x:c>
      <x:c r="F96" s="95" t="str">
        <x:v>can you put hot liquid in a blender explained; can you put hot liquid in a blender guide; can you put hot liquid in a blender FAQ; can you put hot liquid in a blender tips; can you put hot liquid in a blender common mistakes</x:v>
      </x:c>
      <x:c r="G96" s="95" t="str">
        <x:v>Informational</x:v>
      </x:c>
      <x:c r="H96" s="95" t="str">
        <x:v>TOFU/MOFU</x:v>
      </x:c>
      <x:c r="I96" s="95" t="str">
        <x:v>/can-you-put-hot-liquid-in-a-blender/</x:v>
      </x:c>
      <x:c r="J96" s="95" t="str">
        <x:v>BL-HUB</x:v>
      </x:c>
      <x:c r="K96" s="95" t="str"/>
      <x:c r="L96" s="95" t="str"/>
      <x:c r="M96" s="95" t="str">
        <x:v>Validate top 10 results, weak domains, content format, freshness and shopping features before briefing.</x:v>
      </x:c>
      <x:c r="N96" s="95" t="str">
        <x:v>Required for model-specific reviews and roundups</x:v>
      </x:c>
      <x:c r="O96" s="101" t="str">
        <x:v>Not Started</x:v>
      </x:c>
    </x:row>
    <x:row r="97">
      <x:c r="A97" s="100" t="str">
        <x:v>CC-G03</x:v>
      </x:c>
      <x:c r="B97" s="95" t="str">
        <x:v>P2</x:v>
      </x:c>
      <x:c r="C97" s="95" t="str">
        <x:v>Cross-Category</x:v>
      </x:c>
      <x:c r="D97" s="95" t="str">
        <x:v>Informational</x:v>
      </x:c>
      <x:c r="E97" s="95" t="str">
        <x:v>kitchen appliance wattage guide</x:v>
      </x:c>
      <x:c r="F97" s="95" t="str">
        <x:v>kitchen appliance wattage guide explained; kitchen appliance wattage guide guide; kitchen appliance wattage guide FAQ; kitchen appliance wattage guide tips; kitchen appliance wattage guide common mistakes</x:v>
      </x:c>
      <x:c r="G97" s="95" t="str">
        <x:v>Informational</x:v>
      </x:c>
      <x:c r="H97" s="95" t="str">
        <x:v>TOFU/MOFU</x:v>
      </x:c>
      <x:c r="I97" s="95" t="str">
        <x:v>/kitchen-appliance-wattage-guide/</x:v>
      </x:c>
      <x:c r="J97" s="95" t="str"/>
      <x:c r="K97" s="95" t="str"/>
      <x:c r="L97" s="95" t="str"/>
      <x:c r="M97" s="95" t="str">
        <x:v>Validate top 10 results, weak domains, content format, freshness and shopping features before briefing.</x:v>
      </x:c>
      <x:c r="N97" s="95" t="str">
        <x:v>Required for model-specific reviews and roundups</x:v>
      </x:c>
      <x:c r="O97" s="101" t="str">
        <x:v>Not Started</x:v>
      </x:c>
    </x:row>
    <x:row r="98">
      <x:c r="A98" s="100" t="str">
        <x:v>CC-G05</x:v>
      </x:c>
      <x:c r="B98" s="95" t="str">
        <x:v>P2</x:v>
      </x:c>
      <x:c r="C98" s="95" t="str">
        <x:v>Cross-Category</x:v>
      </x:c>
      <x:c r="D98" s="95" t="str">
        <x:v>Informational</x:v>
      </x:c>
      <x:c r="E98" s="95" t="str">
        <x:v>counter space for small appliances</x:v>
      </x:c>
      <x:c r="F98" s="95" t="str">
        <x:v>counter space for small appliances explained; counter space for small appliances guide; counter space for small appliances FAQ; counter space for small appliances tips; counter space for small appliances common mistakes</x:v>
      </x:c>
      <x:c r="G98" s="95" t="str">
        <x:v>Informational</x:v>
      </x:c>
      <x:c r="H98" s="95" t="str">
        <x:v>TOFU/MOFU</x:v>
      </x:c>
      <x:c r="I98" s="95" t="str">
        <x:v>/small-appliance-counter-space/</x:v>
      </x:c>
      <x:c r="J98" s="95" t="str"/>
      <x:c r="K98" s="95" t="str"/>
      <x:c r="L98" s="95" t="str"/>
      <x:c r="M98" s="95" t="str">
        <x:v>Validate top 10 results, weak domains, content format, freshness and shopping features before briefing.</x:v>
      </x:c>
      <x:c r="N98" s="95" t="str">
        <x:v>Required for model-specific reviews and roundups</x:v>
      </x:c>
      <x:c r="O98" s="101" t="str">
        <x:v>Not Started</x:v>
      </x:c>
    </x:row>
    <x:row r="99">
      <x:c r="A99" s="100" t="str">
        <x:v>AF-G07</x:v>
      </x:c>
      <x:c r="B99" s="95" t="str">
        <x:v>P2</x:v>
      </x:c>
      <x:c r="C99" s="95" t="str">
        <x:v>Air Fryers</x:v>
      </x:c>
      <x:c r="D99" s="95" t="str">
        <x:v>How-To</x:v>
      </x:c>
      <x:c r="E99" s="95" t="str">
        <x:v>how to clean an air fryer</x:v>
      </x:c>
      <x:c r="F99" s="95" t="str">
        <x:v>how to clean an air fryer explained; how to clean an air fryer guide; how to clean an air fryer FAQ; how to clean an air fryer tips; how to clean an air fryer common mistakes</x:v>
      </x:c>
      <x:c r="G99" s="95" t="str">
        <x:v>Informational</x:v>
      </x:c>
      <x:c r="H99" s="95" t="str">
        <x:v>TOFU/MOFU</x:v>
      </x:c>
      <x:c r="I99" s="95" t="str">
        <x:v>/how-to-clean-an-air-fryer/</x:v>
      </x:c>
      <x:c r="J99" s="95" t="str">
        <x:v>AF-HUB</x:v>
      </x:c>
      <x:c r="K99" s="95" t="str"/>
      <x:c r="L99" s="95" t="str"/>
      <x:c r="M99" s="95" t="str">
        <x:v>Validate top 10 results, weak domains, content format, freshness and shopping features before briefing.</x:v>
      </x:c>
      <x:c r="N99" s="95" t="str">
        <x:v>Required for model-specific reviews and roundups</x:v>
      </x:c>
      <x:c r="O99" s="101" t="str">
        <x:v>Not Started</x:v>
      </x:c>
    </x:row>
    <x:row r="100">
      <x:c r="A100" s="100" t="str">
        <x:v>BL-G04</x:v>
      </x:c>
      <x:c r="B100" s="95" t="str">
        <x:v>P2</x:v>
      </x:c>
      <x:c r="C100" s="95" t="str">
        <x:v>Blenders</x:v>
      </x:c>
      <x:c r="D100" s="95" t="str">
        <x:v>How-To</x:v>
      </x:c>
      <x:c r="E100" s="95" t="str">
        <x:v>how to clean a blender</x:v>
      </x:c>
      <x:c r="F100" s="95" t="str">
        <x:v>how to clean a blender explained; how to clean a blender guide; how to clean a blender FAQ; how to clean a blender tips; how to clean a blender common mistakes</x:v>
      </x:c>
      <x:c r="G100" s="95" t="str">
        <x:v>Informational</x:v>
      </x:c>
      <x:c r="H100" s="95" t="str">
        <x:v>TOFU/MOFU</x:v>
      </x:c>
      <x:c r="I100" s="95" t="str">
        <x:v>/how-to-clean-a-blender/</x:v>
      </x:c>
      <x:c r="J100" s="95" t="str">
        <x:v>BL-HUB</x:v>
      </x:c>
      <x:c r="K100" s="95" t="str"/>
      <x:c r="L100" s="95" t="str"/>
      <x:c r="M100" s="95" t="str">
        <x:v>Validate top 10 results, weak domains, content format, freshness and shopping features before briefing.</x:v>
      </x:c>
      <x:c r="N100" s="95" t="str">
        <x:v>Required for model-specific reviews and roundups</x:v>
      </x:c>
      <x:c r="O100" s="101" t="str">
        <x:v>Not Started</x:v>
      </x:c>
    </x:row>
    <x:row r="101">
      <x:c r="A101" s="100" t="str">
        <x:v>EK-G03</x:v>
      </x:c>
      <x:c r="B101" s="95" t="str">
        <x:v>P2</x:v>
      </x:c>
      <x:c r="C101" s="95" t="str">
        <x:v>Electric Kettles</x:v>
      </x:c>
      <x:c r="D101" s="95" t="str">
        <x:v>How-To</x:v>
      </x:c>
      <x:c r="E101" s="95" t="str">
        <x:v>how to descale electric kettle</x:v>
      </x:c>
      <x:c r="F101" s="95" t="str">
        <x:v>how to descale electric kettle explained; how to descale electric kettle guide; how to descale electric kettle FAQ; how to descale electric kettle tips; how to descale electric kettle common mistakes</x:v>
      </x:c>
      <x:c r="G101" s="95" t="str">
        <x:v>Informational</x:v>
      </x:c>
      <x:c r="H101" s="95" t="str">
        <x:v>TOFU/MOFU</x:v>
      </x:c>
      <x:c r="I101" s="95" t="str">
        <x:v>/how-to-descale-electric-kettle/</x:v>
      </x:c>
      <x:c r="J101" s="95" t="str">
        <x:v>EK-HUB</x:v>
      </x:c>
      <x:c r="K101" s="95" t="str"/>
      <x:c r="L101" s="95" t="str"/>
      <x:c r="M101" s="95" t="str">
        <x:v>Validate top 10 results, weak domains, content format, freshness and shopping features before briefing.</x:v>
      </x:c>
      <x:c r="N101" s="95" t="str">
        <x:v>Required for model-specific reviews and roundups</x:v>
      </x:c>
      <x:c r="O101" s="101" t="str">
        <x:v>Not Started</x:v>
      </x:c>
    </x:row>
    <x:row r="102">
      <x:c r="A102" s="100" t="str">
        <x:v>CG-HUB</x:v>
      </x:c>
      <x:c r="B102" s="95" t="str">
        <x:v>P3</x:v>
      </x:c>
      <x:c r="C102" s="95" t="str">
        <x:v>Coffee Grinders</x:v>
      </x:c>
      <x:c r="D102" s="95" t="str">
        <x:v>Category Hub</x:v>
      </x:c>
      <x:c r="E102" s="95" t="str">
        <x:v>coffee grinder reviews and buying guides</x:v>
      </x:c>
      <x:c r="F102" s="95" t="str">
        <x:v>coffee grinder reviews and buying guides explained; coffee grinder reviews and buying guides guide; coffee grinder reviews and buying guides FAQ; coffee grinder reviews and buying guides tips; coffee grinder reviews and buying guides common mistakes</x:v>
      </x:c>
      <x:c r="G102" s="95" t="str">
        <x:v>Mixed</x:v>
      </x:c>
      <x:c r="H102" s="95" t="str">
        <x:v>MOFU</x:v>
      </x:c>
      <x:c r="I102" s="95" t="str">
        <x:v>/coffee-grinders/</x:v>
      </x:c>
      <x:c r="J102" s="95" t="str"/>
      <x:c r="K102" s="95" t="str"/>
      <x:c r="L102" s="95" t="str"/>
      <x:c r="M102" s="95" t="str">
        <x:v>Validate top 10 results, weak domains, content format, freshness and shopping features before briefing.</x:v>
      </x:c>
      <x:c r="N102" s="95" t="str">
        <x:v>Required for model-specific reviews and roundups</x:v>
      </x:c>
      <x:c r="O102" s="101" t="str">
        <x:v>Not Started</x:v>
      </x:c>
    </x:row>
    <x:row r="103">
      <x:c r="A103" s="100" t="str">
        <x:v>FP-HUB</x:v>
      </x:c>
      <x:c r="B103" s="95" t="str">
        <x:v>P3</x:v>
      </x:c>
      <x:c r="C103" s="95" t="str">
        <x:v>Food Processors</x:v>
      </x:c>
      <x:c r="D103" s="95" t="str">
        <x:v>Category Hub</x:v>
      </x:c>
      <x:c r="E103" s="95" t="str">
        <x:v>food processor reviews and buying guides</x:v>
      </x:c>
      <x:c r="F103" s="95" t="str">
        <x:v>food processor reviews and buying guides explained; food processor reviews and buying guides guide; food processor reviews and buying guides FAQ; food processor reviews and buying guides tips; food processor reviews and buying guides common mistakes</x:v>
      </x:c>
      <x:c r="G103" s="95" t="str">
        <x:v>Mixed</x:v>
      </x:c>
      <x:c r="H103" s="95" t="str">
        <x:v>MOFU</x:v>
      </x:c>
      <x:c r="I103" s="95" t="str">
        <x:v>/food-processors/</x:v>
      </x:c>
      <x:c r="J103" s="95" t="str"/>
      <x:c r="K103" s="95" t="str"/>
      <x:c r="L103" s="95" t="str"/>
      <x:c r="M103" s="95" t="str">
        <x:v>Validate top 10 results, weak domains, content format, freshness and shopping features before briefing.</x:v>
      </x:c>
      <x:c r="N103" s="95" t="str">
        <x:v>Required for model-specific reviews and roundups</x:v>
      </x:c>
      <x:c r="O103" s="101" t="str">
        <x:v>Not Started</x:v>
      </x:c>
    </x:row>
    <x:row r="104">
      <x:c r="A104" s="100" t="str">
        <x:v>MC-HUB</x:v>
      </x:c>
      <x:c r="B104" s="95" t="str">
        <x:v>P3</x:v>
      </x:c>
      <x:c r="C104" s="95" t="str">
        <x:v>Mini Choppers</x:v>
      </x:c>
      <x:c r="D104" s="95" t="str">
        <x:v>Category Hub</x:v>
      </x:c>
      <x:c r="E104" s="95" t="str">
        <x:v>mini chopper reviews and buying guides</x:v>
      </x:c>
      <x:c r="F104" s="95" t="str">
        <x:v>mini chopper reviews and buying guides explained; mini chopper reviews and buying guides guide; mini chopper reviews and buying guides FAQ; mini chopper reviews and buying guides tips; mini chopper reviews and buying guides common mistakes</x:v>
      </x:c>
      <x:c r="G104" s="95" t="str">
        <x:v>Mixed</x:v>
      </x:c>
      <x:c r="H104" s="95" t="str">
        <x:v>MOFU</x:v>
      </x:c>
      <x:c r="I104" s="95" t="str">
        <x:v>/mini-choppers/</x:v>
      </x:c>
      <x:c r="J104" s="95" t="str"/>
      <x:c r="K104" s="95" t="str"/>
      <x:c r="L104" s="95" t="str"/>
      <x:c r="M104" s="95" t="str">
        <x:v>Validate top 10 results, weak domains, content format, freshness and shopping features before briefing.</x:v>
      </x:c>
      <x:c r="N104" s="95" t="str">
        <x:v>Required for model-specific reviews and roundups</x:v>
      </x:c>
      <x:c r="O104" s="101" t="str">
        <x:v>Not Started</x:v>
      </x:c>
    </x:row>
    <x:row r="105">
      <x:c r="A105" s="100" t="str">
        <x:v>RC-HUB</x:v>
      </x:c>
      <x:c r="B105" s="95" t="str">
        <x:v>P3</x:v>
      </x:c>
      <x:c r="C105" s="95" t="str">
        <x:v>Rice Cookers</x:v>
      </x:c>
      <x:c r="D105" s="95" t="str">
        <x:v>Category Hub</x:v>
      </x:c>
      <x:c r="E105" s="95" t="str">
        <x:v>rice cooker reviews and buying guides</x:v>
      </x:c>
      <x:c r="F105" s="95" t="str">
        <x:v>rice cooker reviews and buying guides explained; rice cooker reviews and buying guides guide; rice cooker reviews and buying guides FAQ; rice cooker reviews and buying guides tips; rice cooker reviews and buying guides common mistakes</x:v>
      </x:c>
      <x:c r="G105" s="95" t="str">
        <x:v>Mixed</x:v>
      </x:c>
      <x:c r="H105" s="95" t="str">
        <x:v>MOFU</x:v>
      </x:c>
      <x:c r="I105" s="95" t="str">
        <x:v>/rice-cookers/</x:v>
      </x:c>
      <x:c r="J105" s="95" t="str"/>
      <x:c r="K105" s="95" t="str"/>
      <x:c r="L105" s="95" t="str"/>
      <x:c r="M105" s="95" t="str">
        <x:v>Validate top 10 results, weak domains, content format, freshness and shopping features before briefing.</x:v>
      </x:c>
      <x:c r="N105" s="95" t="str">
        <x:v>Required for model-specific reviews and roundups</x:v>
      </x:c>
      <x:c r="O105" s="101" t="str">
        <x:v>Not Started</x:v>
      </x:c>
    </x:row>
    <x:row r="106">
      <x:c r="A106" s="100" t="str">
        <x:v>CG-PIL</x:v>
      </x:c>
      <x:c r="B106" s="95" t="str">
        <x:v>P3</x:v>
      </x:c>
      <x:c r="C106" s="95" t="str">
        <x:v>Coffee Grinders</x:v>
      </x:c>
      <x:c r="D106" s="95" t="str">
        <x:v>Commercial Pillar</x:v>
      </x:c>
      <x:c r="E106" s="95" t="str">
        <x:v>best coffee grinders</x:v>
      </x:c>
      <x:c r="F106" s="95" t="str">
        <x:v>best coffee grinders reviews; best coffee grinders comparison; best coffee grinders buying guide; best coffee grinders for the money; top rated coffee grinders</x:v>
      </x:c>
      <x:c r="G106" s="95" t="str">
        <x:v>Commercial Investigation</x:v>
      </x:c>
      <x:c r="H106" s="95" t="str">
        <x:v>BOFU</x:v>
      </x:c>
      <x:c r="I106" s="95" t="str">
        <x:v>/best-coffee-grinders/</x:v>
      </x:c>
      <x:c r="J106" s="95" t="str">
        <x:v>CG-HUB</x:v>
      </x:c>
      <x:c r="K106" s="95" t="str"/>
      <x:c r="L106" s="95" t="str"/>
      <x:c r="M106" s="95" t="str">
        <x:v>Validate top 10 results, weak domains, content format, freshness and shopping features before briefing.</x:v>
      </x:c>
      <x:c r="N106" s="95" t="str">
        <x:v>Required for model-specific reviews and roundups</x:v>
      </x:c>
      <x:c r="O106" s="101" t="str">
        <x:v>Not Started</x:v>
      </x:c>
    </x:row>
    <x:row r="107">
      <x:c r="A107" s="100" t="str">
        <x:v>FP-PIL</x:v>
      </x:c>
      <x:c r="B107" s="95" t="str">
        <x:v>P3</x:v>
      </x:c>
      <x:c r="C107" s="95" t="str">
        <x:v>Food Processors</x:v>
      </x:c>
      <x:c r="D107" s="95" t="str">
        <x:v>Commercial Pillar</x:v>
      </x:c>
      <x:c r="E107" s="95" t="str">
        <x:v>best food processors</x:v>
      </x:c>
      <x:c r="F107" s="95" t="str">
        <x:v>best food processors reviews; best food processors comparison; best food processors buying guide; best food processors for the money; top rated food processors</x:v>
      </x:c>
      <x:c r="G107" s="95" t="str">
        <x:v>Commercial Investigation</x:v>
      </x:c>
      <x:c r="H107" s="95" t="str">
        <x:v>BOFU</x:v>
      </x:c>
      <x:c r="I107" s="95" t="str">
        <x:v>/best-food-processors/</x:v>
      </x:c>
      <x:c r="J107" s="95" t="str">
        <x:v>FP-HUB</x:v>
      </x:c>
      <x:c r="K107" s="95" t="str"/>
      <x:c r="L107" s="95" t="str"/>
      <x:c r="M107" s="95" t="str">
        <x:v>Validate top 10 results, weak domains, content format, freshness and shopping features before briefing.</x:v>
      </x:c>
      <x:c r="N107" s="95" t="str">
        <x:v>Required for model-specific reviews and roundups</x:v>
      </x:c>
      <x:c r="O107" s="101" t="str">
        <x:v>Not Started</x:v>
      </x:c>
    </x:row>
    <x:row r="108">
      <x:c r="A108" s="100" t="str">
        <x:v>MC-PIL</x:v>
      </x:c>
      <x:c r="B108" s="95" t="str">
        <x:v>P3</x:v>
      </x:c>
      <x:c r="C108" s="95" t="str">
        <x:v>Mini Choppers</x:v>
      </x:c>
      <x:c r="D108" s="95" t="str">
        <x:v>Commercial Pillar</x:v>
      </x:c>
      <x:c r="E108" s="95" t="str">
        <x:v>best mini food choppers</x:v>
      </x:c>
      <x:c r="F108" s="95" t="str">
        <x:v>best mini food choppers reviews; best mini food choppers comparison; best mini food choppers buying guide; best mini food choppers for the money; top rated mini food choppers</x:v>
      </x:c>
      <x:c r="G108" s="95" t="str">
        <x:v>Commercial Investigation</x:v>
      </x:c>
      <x:c r="H108" s="95" t="str">
        <x:v>BOFU</x:v>
      </x:c>
      <x:c r="I108" s="95" t="str">
        <x:v>/best-mini-food-choppers/</x:v>
      </x:c>
      <x:c r="J108" s="95" t="str">
        <x:v>MC-HUB</x:v>
      </x:c>
      <x:c r="K108" s="95" t="str"/>
      <x:c r="L108" s="95" t="str"/>
      <x:c r="M108" s="95" t="str">
        <x:v>Validate top 10 results, weak domains, content format, freshness and shopping features before briefing.</x:v>
      </x:c>
      <x:c r="N108" s="95" t="str">
        <x:v>Required for model-specific reviews and roundups</x:v>
      </x:c>
      <x:c r="O108" s="101" t="str">
        <x:v>Not Started</x:v>
      </x:c>
    </x:row>
    <x:row r="109">
      <x:c r="A109" s="100" t="str">
        <x:v>RC-PIL</x:v>
      </x:c>
      <x:c r="B109" s="95" t="str">
        <x:v>P3</x:v>
      </x:c>
      <x:c r="C109" s="95" t="str">
        <x:v>Rice Cookers</x:v>
      </x:c>
      <x:c r="D109" s="95" t="str">
        <x:v>Commercial Pillar</x:v>
      </x:c>
      <x:c r="E109" s="95" t="str">
        <x:v>best rice cookers</x:v>
      </x:c>
      <x:c r="F109" s="95" t="str">
        <x:v>best rice cookers reviews; best rice cookers comparison; best rice cookers buying guide; best rice cookers for the money; top rated rice cookers</x:v>
      </x:c>
      <x:c r="G109" s="95" t="str">
        <x:v>Commercial Investigation</x:v>
      </x:c>
      <x:c r="H109" s="95" t="str">
        <x:v>BOFU</x:v>
      </x:c>
      <x:c r="I109" s="95" t="str">
        <x:v>/best-rice-cookers/</x:v>
      </x:c>
      <x:c r="J109" s="95" t="str">
        <x:v>RC-HUB</x:v>
      </x:c>
      <x:c r="K109" s="95" t="str"/>
      <x:c r="L109" s="95" t="str"/>
      <x:c r="M109" s="95" t="str">
        <x:v>Validate top 10 results, weak domains, content format, freshness and shopping features before briefing.</x:v>
      </x:c>
      <x:c r="N109" s="95" t="str">
        <x:v>Required for model-specific reviews and roundups</x:v>
      </x:c>
      <x:c r="O109" s="101" t="str">
        <x:v>Not Started</x:v>
      </x:c>
    </x:row>
    <x:row r="110">
      <x:c r="A110" s="100" t="str">
        <x:v>AF-R18</x:v>
      </x:c>
      <x:c r="B110" s="95" t="str">
        <x:v>P3</x:v>
      </x:c>
      <x:c r="C110" s="95" t="str">
        <x:v>Air Fryers</x:v>
      </x:c>
      <x:c r="D110" s="95" t="str">
        <x:v>Roundup</x:v>
      </x:c>
      <x:c r="E110" s="95" t="str">
        <x:v>best air fryer for baking</x:v>
      </x:c>
      <x:c r="F110" s="95" t="str">
        <x:v>best air fryer for baking reviews; best air fryer for baking comparison; best air fryer for baking buying guide; best air fryer for baking for the money; top rated air fryer for baking</x:v>
      </x:c>
      <x:c r="G110" s="95" t="str">
        <x:v>Commercial Investigation</x:v>
      </x:c>
      <x:c r="H110" s="95" t="str">
        <x:v>BOFU</x:v>
      </x:c>
      <x:c r="I110" s="95" t="str">
        <x:v>/best-air-fryer-for-baking/</x:v>
      </x:c>
      <x:c r="J110" s="95" t="str">
        <x:v>AF-PIL</x:v>
      </x:c>
      <x:c r="K110" s="95" t="str"/>
      <x:c r="L110" s="95" t="str"/>
      <x:c r="M110" s="95" t="str">
        <x:v>Validate top 10 results, weak domains, content format, freshness and shopping features before briefing.</x:v>
      </x:c>
      <x:c r="N110" s="95" t="str">
        <x:v>Required for model-specific reviews and roundups</x:v>
      </x:c>
      <x:c r="O110" s="101" t="str">
        <x:v>Not Started</x:v>
      </x:c>
    </x:row>
    <x:row r="111">
      <x:c r="A111" s="100" t="str">
        <x:v>AF-R19</x:v>
      </x:c>
      <x:c r="B111" s="95" t="str">
        <x:v>P3</x:v>
      </x:c>
      <x:c r="C111" s="95" t="str">
        <x:v>Air Fryers</x:v>
      </x:c>
      <x:c r="D111" s="95" t="str">
        <x:v>Roundup</x:v>
      </x:c>
      <x:c r="E111" s="95" t="str">
        <x:v>best air fryer with rotisserie</x:v>
      </x:c>
      <x:c r="F111" s="95" t="str">
        <x:v>best air fryer with rotisserie reviews; best air fryer with rotisserie comparison; best air fryer with rotisserie buying guide; best air fryer with rotisserie for the money; top rated air fryer with rotisserie</x:v>
      </x:c>
      <x:c r="G111" s="95" t="str">
        <x:v>Commercial Investigation</x:v>
      </x:c>
      <x:c r="H111" s="95" t="str">
        <x:v>BOFU</x:v>
      </x:c>
      <x:c r="I111" s="95" t="str">
        <x:v>/best-air-fryer-with-rotisserie/</x:v>
      </x:c>
      <x:c r="J111" s="95" t="str">
        <x:v>AF-PIL</x:v>
      </x:c>
      <x:c r="K111" s="95" t="str"/>
      <x:c r="L111" s="95" t="str"/>
      <x:c r="M111" s="95" t="str">
        <x:v>Validate top 10 results, weak domains, content format, freshness and shopping features before briefing.</x:v>
      </x:c>
      <x:c r="N111" s="95" t="str">
        <x:v>Required for model-specific reviews and roundups</x:v>
      </x:c>
      <x:c r="O111" s="101" t="str">
        <x:v>Not Started</x:v>
      </x:c>
    </x:row>
    <x:row r="112">
      <x:c r="A112" s="100" t="str">
        <x:v>BL-R13</x:v>
      </x:c>
      <x:c r="B112" s="95" t="str">
        <x:v>P3</x:v>
      </x:c>
      <x:c r="C112" s="95" t="str">
        <x:v>Blenders</x:v>
      </x:c>
      <x:c r="D112" s="95" t="str">
        <x:v>Roundup</x:v>
      </x:c>
      <x:c r="E112" s="95" t="str">
        <x:v>best easy to clean blender</x:v>
      </x:c>
      <x:c r="F112" s="95" t="str">
        <x:v>best easy to clean blender reviews; best easy to clean blender comparison; best easy to clean blender buying guide; best easy to clean blender for the money; top rated easy to clean blender</x:v>
      </x:c>
      <x:c r="G112" s="95" t="str">
        <x:v>Commercial Investigation</x:v>
      </x:c>
      <x:c r="H112" s="95" t="str">
        <x:v>BOFU</x:v>
      </x:c>
      <x:c r="I112" s="95" t="str">
        <x:v>/best-easy-to-clean-blender/</x:v>
      </x:c>
      <x:c r="J112" s="95" t="str">
        <x:v>BL-PIL</x:v>
      </x:c>
      <x:c r="K112" s="95" t="str"/>
      <x:c r="L112" s="95" t="str"/>
      <x:c r="M112" s="95" t="str">
        <x:v>Validate top 10 results, weak domains, content format, freshness and shopping features before briefing.</x:v>
      </x:c>
      <x:c r="N112" s="95" t="str">
        <x:v>Required for model-specific reviews and roundups</x:v>
      </x:c>
      <x:c r="O112" s="101" t="str">
        <x:v>Not Started</x:v>
      </x:c>
    </x:row>
    <x:row r="113">
      <x:c r="A113" s="100" t="str">
        <x:v>BL-R14</x:v>
      </x:c>
      <x:c r="B113" s="95" t="str">
        <x:v>P3</x:v>
      </x:c>
      <x:c r="C113" s="95" t="str">
        <x:v>Blenders</x:v>
      </x:c>
      <x:c r="D113" s="95" t="str">
        <x:v>Roundup</x:v>
      </x:c>
      <x:c r="E113" s="95" t="str">
        <x:v>best blender for large family</x:v>
      </x:c>
      <x:c r="F113" s="95" t="str">
        <x:v>best blender for large family reviews; best blender for large family comparison; best blender for large family buying guide; best blender for large family for the money; top rated blender for large family</x:v>
      </x:c>
      <x:c r="G113" s="95" t="str">
        <x:v>Commercial Investigation</x:v>
      </x:c>
      <x:c r="H113" s="95" t="str">
        <x:v>BOFU</x:v>
      </x:c>
      <x:c r="I113" s="95" t="str">
        <x:v>/best-blender-for-large-family/</x:v>
      </x:c>
      <x:c r="J113" s="95" t="str">
        <x:v>BL-PIL</x:v>
      </x:c>
      <x:c r="K113" s="95" t="str"/>
      <x:c r="L113" s="95" t="str"/>
      <x:c r="M113" s="95" t="str">
        <x:v>Validate top 10 results, weak domains, content format, freshness and shopping features before briefing.</x:v>
      </x:c>
      <x:c r="N113" s="95" t="str">
        <x:v>Required for model-specific reviews and roundups</x:v>
      </x:c>
      <x:c r="O113" s="101" t="str">
        <x:v>Not Started</x:v>
      </x:c>
    </x:row>
    <x:row r="114">
      <x:c r="A114" s="100" t="str">
        <x:v>BL-R15</x:v>
      </x:c>
      <x:c r="B114" s="95" t="str">
        <x:v>P3</x:v>
      </x:c>
      <x:c r="C114" s="95" t="str">
        <x:v>Blenders</x:v>
      </x:c>
      <x:c r="D114" s="95" t="str">
        <x:v>Roundup</x:v>
      </x:c>
      <x:c r="E114" s="95" t="str">
        <x:v>best portable blender</x:v>
      </x:c>
      <x:c r="F114" s="95" t="str">
        <x:v>best portable blender reviews; best portable blender comparison; best portable blender buying guide; best portable blender for the money; top rated portable blender</x:v>
      </x:c>
      <x:c r="G114" s="95" t="str">
        <x:v>Commercial Investigation</x:v>
      </x:c>
      <x:c r="H114" s="95" t="str">
        <x:v>BOFU</x:v>
      </x:c>
      <x:c r="I114" s="95" t="str">
        <x:v>/best-portable-blender/</x:v>
      </x:c>
      <x:c r="J114" s="95" t="str">
        <x:v>BL-PIL</x:v>
      </x:c>
      <x:c r="K114" s="95" t="str"/>
      <x:c r="L114" s="95" t="str"/>
      <x:c r="M114" s="95" t="str">
        <x:v>Validate top 10 results, weak domains, content format, freshness and shopping features before briefing.</x:v>
      </x:c>
      <x:c r="N114" s="95" t="str">
        <x:v>Required for model-specific reviews and roundups</x:v>
      </x:c>
      <x:c r="O114" s="101" t="str">
        <x:v>Not Started</x:v>
      </x:c>
    </x:row>
    <x:row r="115">
      <x:c r="A115" s="100" t="str">
        <x:v>CG-R01</x:v>
      </x:c>
      <x:c r="B115" s="95" t="str">
        <x:v>P3</x:v>
      </x:c>
      <x:c r="C115" s="95" t="str">
        <x:v>Coffee Grinders</x:v>
      </x:c>
      <x:c r="D115" s="95" t="str">
        <x:v>Roundup</x:v>
      </x:c>
      <x:c r="E115" s="95" t="str">
        <x:v>best coffee grinder under $100</x:v>
      </x:c>
      <x:c r="F115" s="95" t="str">
        <x:v>best coffee grinder under $100 reviews; best coffee grinder under $100 comparison; best coffee grinder under $100 buying guide; best coffee grinder under $100 for the money; top rated coffee grinder under $100</x:v>
      </x:c>
      <x:c r="G115" s="95" t="str">
        <x:v>Commercial Investigation</x:v>
      </x:c>
      <x:c r="H115" s="95" t="str">
        <x:v>BOFU</x:v>
      </x:c>
      <x:c r="I115" s="95" t="str">
        <x:v>/best-coffee-grinder-under-100/</x:v>
      </x:c>
      <x:c r="J115" s="95" t="str">
        <x:v>CG-PIL</x:v>
      </x:c>
      <x:c r="K115" s="95" t="str"/>
      <x:c r="L115" s="95" t="str"/>
      <x:c r="M115" s="95" t="str">
        <x:v>Validate top 10 results, weak domains, content format, freshness and shopping features before briefing.</x:v>
      </x:c>
      <x:c r="N115" s="95" t="str">
        <x:v>Required for model-specific reviews and roundups</x:v>
      </x:c>
      <x:c r="O115" s="101" t="str">
        <x:v>Not Started</x:v>
      </x:c>
    </x:row>
    <x:row r="116">
      <x:c r="A116" s="100" t="str">
        <x:v>CG-R02</x:v>
      </x:c>
      <x:c r="B116" s="95" t="str">
        <x:v>P3</x:v>
      </x:c>
      <x:c r="C116" s="95" t="str">
        <x:v>Coffee Grinders</x:v>
      </x:c>
      <x:c r="D116" s="95" t="str">
        <x:v>Roundup</x:v>
      </x:c>
      <x:c r="E116" s="95" t="str">
        <x:v>best burr coffee grinder</x:v>
      </x:c>
      <x:c r="F116" s="95" t="str">
        <x:v>best burr coffee grinder reviews; best burr coffee grinder comparison; best burr coffee grinder buying guide; best burr coffee grinder for the money; top rated burr coffee grinder</x:v>
      </x:c>
      <x:c r="G116" s="95" t="str">
        <x:v>Commercial Investigation</x:v>
      </x:c>
      <x:c r="H116" s="95" t="str">
        <x:v>BOFU</x:v>
      </x:c>
      <x:c r="I116" s="95" t="str">
        <x:v>/best-burr-coffee-grinder/</x:v>
      </x:c>
      <x:c r="J116" s="95" t="str">
        <x:v>CG-PIL</x:v>
      </x:c>
      <x:c r="K116" s="95" t="str"/>
      <x:c r="L116" s="95" t="str"/>
      <x:c r="M116" s="95" t="str">
        <x:v>Validate top 10 results, weak domains, content format, freshness and shopping features before briefing.</x:v>
      </x:c>
      <x:c r="N116" s="95" t="str">
        <x:v>Required for model-specific reviews and roundups</x:v>
      </x:c>
      <x:c r="O116" s="101" t="str">
        <x:v>Not Started</x:v>
      </x:c>
    </x:row>
    <x:row r="117">
      <x:c r="A117" s="100" t="str">
        <x:v>CG-R03</x:v>
      </x:c>
      <x:c r="B117" s="95" t="str">
        <x:v>P3</x:v>
      </x:c>
      <x:c r="C117" s="95" t="str">
        <x:v>Coffee Grinders</x:v>
      </x:c>
      <x:c r="D117" s="95" t="str">
        <x:v>Roundup</x:v>
      </x:c>
      <x:c r="E117" s="95" t="str">
        <x:v>best coffee grinder for espresso</x:v>
      </x:c>
      <x:c r="F117" s="95" t="str">
        <x:v>best coffee grinder for espresso reviews; best coffee grinder for espresso comparison; best coffee grinder for espresso buying guide; best coffee grinder for espresso for the money; top rated coffee grinder for espresso</x:v>
      </x:c>
      <x:c r="G117" s="95" t="str">
        <x:v>Commercial Investigation</x:v>
      </x:c>
      <x:c r="H117" s="95" t="str">
        <x:v>BOFU</x:v>
      </x:c>
      <x:c r="I117" s="95" t="str">
        <x:v>/best-coffee-grinder-for-espresso/</x:v>
      </x:c>
      <x:c r="J117" s="95" t="str">
        <x:v>CG-PIL</x:v>
      </x:c>
      <x:c r="K117" s="95" t="str"/>
      <x:c r="L117" s="95" t="str"/>
      <x:c r="M117" s="95" t="str">
        <x:v>Validate top 10 results, weak domains, content format, freshness and shopping features before briefing.</x:v>
      </x:c>
      <x:c r="N117" s="95" t="str">
        <x:v>Required for model-specific reviews and roundups</x:v>
      </x:c>
      <x:c r="O117" s="101" t="str">
        <x:v>Not Started</x:v>
      </x:c>
    </x:row>
    <x:row r="118">
      <x:c r="A118" s="100" t="str">
        <x:v>EK-R06</x:v>
      </x:c>
      <x:c r="B118" s="95" t="str">
        <x:v>P3</x:v>
      </x:c>
      <x:c r="C118" s="95" t="str">
        <x:v>Electric Kettles</x:v>
      </x:c>
      <x:c r="D118" s="95" t="str">
        <x:v>Roundup</x:v>
      </x:c>
      <x:c r="E118" s="95" t="str">
        <x:v>best stainless steel electric kettle</x:v>
      </x:c>
      <x:c r="F118" s="95" t="str">
        <x:v>best stainless steel electric kettle reviews; best stainless steel electric kettle comparison; best stainless steel electric kettle buying guide; best stainless steel electric kettle for the money; top rated stainless steel electric kettle</x:v>
      </x:c>
      <x:c r="G118" s="95" t="str">
        <x:v>Commercial Investigation</x:v>
      </x:c>
      <x:c r="H118" s="95" t="str">
        <x:v>BOFU</x:v>
      </x:c>
      <x:c r="I118" s="95" t="str">
        <x:v>/best-stainless-steel-electric-kettle/</x:v>
      </x:c>
      <x:c r="J118" s="95" t="str">
        <x:v>EK-PIL</x:v>
      </x:c>
      <x:c r="K118" s="95" t="str"/>
      <x:c r="L118" s="95" t="str"/>
      <x:c r="M118" s="95" t="str">
        <x:v>Validate top 10 results, weak domains, content format, freshness and shopping features before briefing.</x:v>
      </x:c>
      <x:c r="N118" s="95" t="str">
        <x:v>Required for model-specific reviews and roundups</x:v>
      </x:c>
      <x:c r="O118" s="101" t="str">
        <x:v>Not Started</x:v>
      </x:c>
    </x:row>
    <x:row r="119">
      <x:c r="A119" s="100" t="str">
        <x:v>EK-R07</x:v>
      </x:c>
      <x:c r="B119" s="95" t="str">
        <x:v>P3</x:v>
      </x:c>
      <x:c r="C119" s="95" t="str">
        <x:v>Electric Kettles</x:v>
      </x:c>
      <x:c r="D119" s="95" t="str">
        <x:v>Roundup</x:v>
      </x:c>
      <x:c r="E119" s="95" t="str">
        <x:v>best glass electric kettle</x:v>
      </x:c>
      <x:c r="F119" s="95" t="str">
        <x:v>best glass electric kettle reviews; best glass electric kettle comparison; best glass electric kettle buying guide; best glass electric kettle for the money; top rated glass electric kettle</x:v>
      </x:c>
      <x:c r="G119" s="95" t="str">
        <x:v>Commercial Investigation</x:v>
      </x:c>
      <x:c r="H119" s="95" t="str">
        <x:v>BOFU</x:v>
      </x:c>
      <x:c r="I119" s="95" t="str">
        <x:v>/best-glass-electric-kettle/</x:v>
      </x:c>
      <x:c r="J119" s="95" t="str">
        <x:v>EK-PIL</x:v>
      </x:c>
      <x:c r="K119" s="95" t="str"/>
      <x:c r="L119" s="95" t="str"/>
      <x:c r="M119" s="95" t="str">
        <x:v>Validate top 10 results, weak domains, content format, freshness and shopping features before briefing.</x:v>
      </x:c>
      <x:c r="N119" s="95" t="str">
        <x:v>Required for model-specific reviews and roundups</x:v>
      </x:c>
      <x:c r="O119" s="101" t="str">
        <x:v>Not Started</x:v>
      </x:c>
    </x:row>
    <x:row r="120">
      <x:c r="A120" s="100" t="str">
        <x:v>EK-R08</x:v>
      </x:c>
      <x:c r="B120" s="95" t="str">
        <x:v>P3</x:v>
      </x:c>
      <x:c r="C120" s="95" t="str">
        <x:v>Electric Kettles</x:v>
      </x:c>
      <x:c r="D120" s="95" t="str">
        <x:v>Roundup</x:v>
      </x:c>
      <x:c r="E120" s="95" t="str">
        <x:v>best small electric kettle</x:v>
      </x:c>
      <x:c r="F120" s="95" t="str">
        <x:v>best small electric kettle reviews; best small electric kettle comparison; best small electric kettle buying guide; best small electric kettle for the money; top rated small electric kettle</x:v>
      </x:c>
      <x:c r="G120" s="95" t="str">
        <x:v>Commercial Investigation</x:v>
      </x:c>
      <x:c r="H120" s="95" t="str">
        <x:v>BOFU</x:v>
      </x:c>
      <x:c r="I120" s="95" t="str">
        <x:v>/best-small-electric-kettle/</x:v>
      </x:c>
      <x:c r="J120" s="95" t="str">
        <x:v>EK-PIL</x:v>
      </x:c>
      <x:c r="K120" s="95" t="str"/>
      <x:c r="L120" s="95" t="str"/>
      <x:c r="M120" s="95" t="str">
        <x:v>Validate top 10 results, weak domains, content format, freshness and shopping features before briefing.</x:v>
      </x:c>
      <x:c r="N120" s="95" t="str">
        <x:v>Required for model-specific reviews and roundups</x:v>
      </x:c>
      <x:c r="O120" s="101" t="str">
        <x:v>Not Started</x:v>
      </x:c>
    </x:row>
    <x:row r="121">
      <x:c r="A121" s="100" t="str">
        <x:v>EK-R09</x:v>
      </x:c>
      <x:c r="B121" s="95" t="str">
        <x:v>P3</x:v>
      </x:c>
      <x:c r="C121" s="95" t="str">
        <x:v>Electric Kettles</x:v>
      </x:c>
      <x:c r="D121" s="95" t="str">
        <x:v>Roundup</x:v>
      </x:c>
      <x:c r="E121" s="95" t="str">
        <x:v>best travel electric kettle</x:v>
      </x:c>
      <x:c r="F121" s="95" t="str">
        <x:v>best travel electric kettle reviews; best travel electric kettle comparison; best travel electric kettle buying guide; best travel electric kettle for the money; top rated travel electric kettle</x:v>
      </x:c>
      <x:c r="G121" s="95" t="str">
        <x:v>Commercial Investigation</x:v>
      </x:c>
      <x:c r="H121" s="95" t="str">
        <x:v>BOFU</x:v>
      </x:c>
      <x:c r="I121" s="95" t="str">
        <x:v>/best-travel-electric-kettle/</x:v>
      </x:c>
      <x:c r="J121" s="95" t="str">
        <x:v>EK-PIL</x:v>
      </x:c>
      <x:c r="K121" s="95" t="str"/>
      <x:c r="L121" s="95" t="str"/>
      <x:c r="M121" s="95" t="str">
        <x:v>Validate top 10 results, weak domains, content format, freshness and shopping features before briefing.</x:v>
      </x:c>
      <x:c r="N121" s="95" t="str">
        <x:v>Required for model-specific reviews and roundups</x:v>
      </x:c>
      <x:c r="O121" s="101" t="str">
        <x:v>Not Started</x:v>
      </x:c>
    </x:row>
    <x:row r="122">
      <x:c r="A122" s="100" t="str">
        <x:v>EK-R10</x:v>
      </x:c>
      <x:c r="B122" s="95" t="str">
        <x:v>P3</x:v>
      </x:c>
      <x:c r="C122" s="95" t="str">
        <x:v>Electric Kettles</x:v>
      </x:c>
      <x:c r="D122" s="95" t="str">
        <x:v>Roundup</x:v>
      </x:c>
      <x:c r="E122" s="95" t="str">
        <x:v>fastest electric kettle</x:v>
      </x:c>
      <x:c r="F122" s="95" t="str">
        <x:v>fastest electric kettle reviews; fastest electric kettle comparison; fastest electric kettle buying guide; fastest electric kettle for the money; top rated fastest electric kettle</x:v>
      </x:c>
      <x:c r="G122" s="95" t="str">
        <x:v>Commercial Investigation</x:v>
      </x:c>
      <x:c r="H122" s="95" t="str">
        <x:v>BOFU</x:v>
      </x:c>
      <x:c r="I122" s="95" t="str">
        <x:v>/fastest-electric-kettle/</x:v>
      </x:c>
      <x:c r="J122" s="95" t="str">
        <x:v>EK-PIL</x:v>
      </x:c>
      <x:c r="K122" s="95" t="str"/>
      <x:c r="L122" s="95" t="str"/>
      <x:c r="M122" s="95" t="str">
        <x:v>Validate top 10 results, weak domains, content format, freshness and shopping features before briefing.</x:v>
      </x:c>
      <x:c r="N122" s="95" t="str">
        <x:v>Required for model-specific reviews and roundups</x:v>
      </x:c>
      <x:c r="O122" s="101" t="str">
        <x:v>Not Started</x:v>
      </x:c>
    </x:row>
    <x:row r="123">
      <x:c r="A123" s="100" t="str">
        <x:v>FP-R01</x:v>
      </x:c>
      <x:c r="B123" s="95" t="str">
        <x:v>P3</x:v>
      </x:c>
      <x:c r="C123" s="95" t="str">
        <x:v>Food Processors</x:v>
      </x:c>
      <x:c r="D123" s="95" t="str">
        <x:v>Roundup</x:v>
      </x:c>
      <x:c r="E123" s="95" t="str">
        <x:v>best food processor under $100</x:v>
      </x:c>
      <x:c r="F123" s="95" t="str">
        <x:v>best food processor under $100 reviews; best food processor under $100 comparison; best food processor under $100 buying guide; best food processor under $100 for the money; top rated food processor under $100</x:v>
      </x:c>
      <x:c r="G123" s="95" t="str">
        <x:v>Commercial Investigation</x:v>
      </x:c>
      <x:c r="H123" s="95" t="str">
        <x:v>BOFU</x:v>
      </x:c>
      <x:c r="I123" s="95" t="str">
        <x:v>/best-food-processor-under-100/</x:v>
      </x:c>
      <x:c r="J123" s="95" t="str">
        <x:v>FP-PIL</x:v>
      </x:c>
      <x:c r="K123" s="95" t="str"/>
      <x:c r="L123" s="95" t="str"/>
      <x:c r="M123" s="95" t="str">
        <x:v>Validate top 10 results, weak domains, content format, freshness and shopping features before briefing.</x:v>
      </x:c>
      <x:c r="N123" s="95" t="str">
        <x:v>Required for model-specific reviews and roundups</x:v>
      </x:c>
      <x:c r="O123" s="101" t="str">
        <x:v>Not Started</x:v>
      </x:c>
    </x:row>
    <x:row r="124">
      <x:c r="A124" s="100" t="str">
        <x:v>FP-R02</x:v>
      </x:c>
      <x:c r="B124" s="95" t="str">
        <x:v>P3</x:v>
      </x:c>
      <x:c r="C124" s="95" t="str">
        <x:v>Food Processors</x:v>
      </x:c>
      <x:c r="D124" s="95" t="str">
        <x:v>Roundup</x:v>
      </x:c>
      <x:c r="E124" s="95" t="str">
        <x:v>best small food processor</x:v>
      </x:c>
      <x:c r="F124" s="95" t="str">
        <x:v>best small food processor reviews; best small food processor comparison; best small food processor buying guide; best small food processor for the money; top rated small food processor</x:v>
      </x:c>
      <x:c r="G124" s="95" t="str">
        <x:v>Commercial Investigation</x:v>
      </x:c>
      <x:c r="H124" s="95" t="str">
        <x:v>BOFU</x:v>
      </x:c>
      <x:c r="I124" s="95" t="str">
        <x:v>/best-small-food-processor/</x:v>
      </x:c>
      <x:c r="J124" s="95" t="str">
        <x:v>FP-PIL</x:v>
      </x:c>
      <x:c r="K124" s="95" t="str"/>
      <x:c r="L124" s="95" t="str"/>
      <x:c r="M124" s="95" t="str">
        <x:v>Validate top 10 results, weak domains, content format, freshness and shopping features before briefing.</x:v>
      </x:c>
      <x:c r="N124" s="95" t="str">
        <x:v>Required for model-specific reviews and roundups</x:v>
      </x:c>
      <x:c r="O124" s="101" t="str">
        <x:v>Not Started</x:v>
      </x:c>
    </x:row>
    <x:row r="125">
      <x:c r="A125" s="100" t="str">
        <x:v>FP-R03</x:v>
      </x:c>
      <x:c r="B125" s="95" t="str">
        <x:v>P3</x:v>
      </x:c>
      <x:c r="C125" s="95" t="str">
        <x:v>Food Processors</x:v>
      </x:c>
      <x:c r="D125" s="95" t="str">
        <x:v>Roundup</x:v>
      </x:c>
      <x:c r="E125" s="95" t="str">
        <x:v>best food processor for dough</x:v>
      </x:c>
      <x:c r="F125" s="95" t="str">
        <x:v>best food processor for dough reviews; best food processor for dough comparison; best food processor for dough buying guide; best food processor for dough for the money; top rated food processor for dough</x:v>
      </x:c>
      <x:c r="G125" s="95" t="str">
        <x:v>Commercial Investigation</x:v>
      </x:c>
      <x:c r="H125" s="95" t="str">
        <x:v>BOFU</x:v>
      </x:c>
      <x:c r="I125" s="95" t="str">
        <x:v>/best-food-processor-for-dough/</x:v>
      </x:c>
      <x:c r="J125" s="95" t="str">
        <x:v>FP-PIL</x:v>
      </x:c>
      <x:c r="K125" s="95" t="str"/>
      <x:c r="L125" s="95" t="str"/>
      <x:c r="M125" s="95" t="str">
        <x:v>Validate top 10 results, weak domains, content format, freshness and shopping features before briefing.</x:v>
      </x:c>
      <x:c r="N125" s="95" t="str">
        <x:v>Required for model-specific reviews and roundups</x:v>
      </x:c>
      <x:c r="O125" s="101" t="str">
        <x:v>Not Started</x:v>
      </x:c>
    </x:row>
    <x:row r="126">
      <x:c r="A126" s="100" t="str">
        <x:v>FP-R04</x:v>
      </x:c>
      <x:c r="B126" s="95" t="str">
        <x:v>P3</x:v>
      </x:c>
      <x:c r="C126" s="95" t="str">
        <x:v>Food Processors</x:v>
      </x:c>
      <x:c r="D126" s="95" t="str">
        <x:v>Roundup</x:v>
      </x:c>
      <x:c r="E126" s="95" t="str">
        <x:v>best food processor for slicing vegetables</x:v>
      </x:c>
      <x:c r="F126" s="95" t="str">
        <x:v>best food processor for slicing vegetables reviews; best food processor for slicing vegetables comparison; best food processor for slicing vegetables buying guide; best food processor for slicing vegetables for the money; top rated food processor for slicing vegetables</x:v>
      </x:c>
      <x:c r="G126" s="95" t="str">
        <x:v>Commercial Investigation</x:v>
      </x:c>
      <x:c r="H126" s="95" t="str">
        <x:v>BOFU</x:v>
      </x:c>
      <x:c r="I126" s="95" t="str">
        <x:v>/best-food-processor-for-slicing-vegetables/</x:v>
      </x:c>
      <x:c r="J126" s="95" t="str">
        <x:v>FP-PIL</x:v>
      </x:c>
      <x:c r="K126" s="95" t="str"/>
      <x:c r="L126" s="95" t="str"/>
      <x:c r="M126" s="95" t="str">
        <x:v>Validate top 10 results, weak domains, content format, freshness and shopping features before briefing.</x:v>
      </x:c>
      <x:c r="N126" s="95" t="str">
        <x:v>Required for model-specific reviews and roundups</x:v>
      </x:c>
      <x:c r="O126" s="101" t="str">
        <x:v>Not Started</x:v>
      </x:c>
    </x:row>
    <x:row r="127">
      <x:c r="A127" s="100" t="str">
        <x:v>FP-R05</x:v>
      </x:c>
      <x:c r="B127" s="95" t="str">
        <x:v>P3</x:v>
      </x:c>
      <x:c r="C127" s="95" t="str">
        <x:v>Food Processors</x:v>
      </x:c>
      <x:c r="D127" s="95" t="str">
        <x:v>Roundup</x:v>
      </x:c>
      <x:c r="E127" s="95" t="str">
        <x:v>best food processor for shredding cheese</x:v>
      </x:c>
      <x:c r="F127" s="95" t="str">
        <x:v>best food processor for shredding cheese reviews; best food processor for shredding cheese comparison; best food processor for shredding cheese buying guide; best food processor for shredding cheese for the money; top rated food processor for shredding cheese</x:v>
      </x:c>
      <x:c r="G127" s="95" t="str">
        <x:v>Commercial Investigation</x:v>
      </x:c>
      <x:c r="H127" s="95" t="str">
        <x:v>BOFU</x:v>
      </x:c>
      <x:c r="I127" s="95" t="str">
        <x:v>/best-food-processor-for-shredding-cheese/</x:v>
      </x:c>
      <x:c r="J127" s="95" t="str">
        <x:v>FP-PIL</x:v>
      </x:c>
      <x:c r="K127" s="95" t="str"/>
      <x:c r="L127" s="95" t="str"/>
      <x:c r="M127" s="95" t="str">
        <x:v>Validate top 10 results, weak domains, content format, freshness and shopping features before briefing.</x:v>
      </x:c>
      <x:c r="N127" s="95" t="str">
        <x:v>Required for model-specific reviews and roundups</x:v>
      </x:c>
      <x:c r="O127" s="101" t="str">
        <x:v>Not Started</x:v>
      </x:c>
    </x:row>
    <x:row r="128">
      <x:c r="A128" s="100" t="str">
        <x:v>FP-R06</x:v>
      </x:c>
      <x:c r="B128" s="95" t="str">
        <x:v>P3</x:v>
      </x:c>
      <x:c r="C128" s="95" t="str">
        <x:v>Food Processors</x:v>
      </x:c>
      <x:c r="D128" s="95" t="str">
        <x:v>Roundup</x:v>
      </x:c>
      <x:c r="E128" s="95" t="str">
        <x:v>best food processor for nut butter</x:v>
      </x:c>
      <x:c r="F128" s="95" t="str">
        <x:v>best food processor for nut butter reviews; best food processor for nut butter comparison; best food processor for nut butter buying guide; best food processor for nut butter for the money; top rated food processor for nut butter</x:v>
      </x:c>
      <x:c r="G128" s="95" t="str">
        <x:v>Commercial Investigation</x:v>
      </x:c>
      <x:c r="H128" s="95" t="str">
        <x:v>BOFU</x:v>
      </x:c>
      <x:c r="I128" s="95" t="str">
        <x:v>/best-food-processor-for-nut-butter/</x:v>
      </x:c>
      <x:c r="J128" s="95" t="str">
        <x:v>FP-PIL</x:v>
      </x:c>
      <x:c r="K128" s="95" t="str"/>
      <x:c r="L128" s="95" t="str"/>
      <x:c r="M128" s="95" t="str">
        <x:v>Validate top 10 results, weak domains, content format, freshness and shopping features before briefing.</x:v>
      </x:c>
      <x:c r="N128" s="95" t="str">
        <x:v>Required for model-specific reviews and roundups</x:v>
      </x:c>
      <x:c r="O128" s="101" t="str">
        <x:v>Not Started</x:v>
      </x:c>
    </x:row>
    <x:row r="129">
      <x:c r="A129" s="100" t="str">
        <x:v>MC-R01</x:v>
      </x:c>
      <x:c r="B129" s="95" t="str">
        <x:v>P3</x:v>
      </x:c>
      <x:c r="C129" s="95" t="str">
        <x:v>Mini Choppers</x:v>
      </x:c>
      <x:c r="D129" s="95" t="str">
        <x:v>Roundup</x:v>
      </x:c>
      <x:c r="E129" s="95" t="str">
        <x:v>best mini food chopper under $50</x:v>
      </x:c>
      <x:c r="F129" s="95" t="str">
        <x:v>best mini food chopper under $50 reviews; best mini food chopper under $50 comparison; best mini food chopper under $50 buying guide; best mini food chopper under $50 for the money; top rated mini food chopper under $50</x:v>
      </x:c>
      <x:c r="G129" s="95" t="str">
        <x:v>Commercial Investigation</x:v>
      </x:c>
      <x:c r="H129" s="95" t="str">
        <x:v>BOFU</x:v>
      </x:c>
      <x:c r="I129" s="95" t="str">
        <x:v>/best-mini-food-chopper-under-50/</x:v>
      </x:c>
      <x:c r="J129" s="95" t="str">
        <x:v>MC-PIL</x:v>
      </x:c>
      <x:c r="K129" s="95" t="str"/>
      <x:c r="L129" s="95" t="str"/>
      <x:c r="M129" s="95" t="str">
        <x:v>Validate top 10 results, weak domains, content format, freshness and shopping features before briefing.</x:v>
      </x:c>
      <x:c r="N129" s="95" t="str">
        <x:v>Required for model-specific reviews and roundups</x:v>
      </x:c>
      <x:c r="O129" s="101" t="str">
        <x:v>Not Started</x:v>
      </x:c>
    </x:row>
    <x:row r="130">
      <x:c r="A130" s="100" t="str">
        <x:v>MC-R02</x:v>
      </x:c>
      <x:c r="B130" s="95" t="str">
        <x:v>P3</x:v>
      </x:c>
      <x:c r="C130" s="95" t="str">
        <x:v>Mini Choppers</x:v>
      </x:c>
      <x:c r="D130" s="95" t="str">
        <x:v>Roundup</x:v>
      </x:c>
      <x:c r="E130" s="95" t="str">
        <x:v>best electric mini chopper</x:v>
      </x:c>
      <x:c r="F130" s="95" t="str">
        <x:v>best electric mini chopper reviews; best electric mini chopper comparison; best electric mini chopper buying guide; best electric mini chopper for the money; top rated electric mini chopper</x:v>
      </x:c>
      <x:c r="G130" s="95" t="str">
        <x:v>Commercial Investigation</x:v>
      </x:c>
      <x:c r="H130" s="95" t="str">
        <x:v>BOFU</x:v>
      </x:c>
      <x:c r="I130" s="95" t="str">
        <x:v>/best-electric-mini-chopper/</x:v>
      </x:c>
      <x:c r="J130" s="95" t="str">
        <x:v>MC-PIL</x:v>
      </x:c>
      <x:c r="K130" s="95" t="str"/>
      <x:c r="L130" s="95" t="str"/>
      <x:c r="M130" s="95" t="str">
        <x:v>Validate top 10 results, weak domains, content format, freshness and shopping features before briefing.</x:v>
      </x:c>
      <x:c r="N130" s="95" t="str">
        <x:v>Required for model-specific reviews and roundups</x:v>
      </x:c>
      <x:c r="O130" s="101" t="str">
        <x:v>Not Started</x:v>
      </x:c>
    </x:row>
    <x:row r="131">
      <x:c r="A131" s="100" t="str">
        <x:v>MC-R03</x:v>
      </x:c>
      <x:c r="B131" s="95" t="str">
        <x:v>P3</x:v>
      </x:c>
      <x:c r="C131" s="95" t="str">
        <x:v>Mini Choppers</x:v>
      </x:c>
      <x:c r="D131" s="95" t="str">
        <x:v>Roundup</x:v>
      </x:c>
      <x:c r="E131" s="95" t="str">
        <x:v>best mini chopper for onions</x:v>
      </x:c>
      <x:c r="F131" s="95" t="str">
        <x:v>best mini chopper for onions reviews; best mini chopper for onions comparison; best mini chopper for onions buying guide; best mini chopper for onions for the money; top rated mini chopper for onions</x:v>
      </x:c>
      <x:c r="G131" s="95" t="str">
        <x:v>Commercial Investigation</x:v>
      </x:c>
      <x:c r="H131" s="95" t="str">
        <x:v>BOFU</x:v>
      </x:c>
      <x:c r="I131" s="95" t="str">
        <x:v>/best-mini-chopper-for-onions/</x:v>
      </x:c>
      <x:c r="J131" s="95" t="str">
        <x:v>MC-PIL</x:v>
      </x:c>
      <x:c r="K131" s="95" t="str"/>
      <x:c r="L131" s="95" t="str"/>
      <x:c r="M131" s="95" t="str">
        <x:v>Validate top 10 results, weak domains, content format, freshness and shopping features before briefing.</x:v>
      </x:c>
      <x:c r="N131" s="95" t="str">
        <x:v>Required for model-specific reviews and roundups</x:v>
      </x:c>
      <x:c r="O131" s="101" t="str">
        <x:v>Not Started</x:v>
      </x:c>
    </x:row>
    <x:row r="132">
      <x:c r="A132" s="100" t="str">
        <x:v>RC-R01</x:v>
      </x:c>
      <x:c r="B132" s="95" t="str">
        <x:v>P3</x:v>
      </x:c>
      <x:c r="C132" s="95" t="str">
        <x:v>Rice Cookers</x:v>
      </x:c>
      <x:c r="D132" s="95" t="str">
        <x:v>Roundup</x:v>
      </x:c>
      <x:c r="E132" s="95" t="str">
        <x:v>best rice cooker under $50</x:v>
      </x:c>
      <x:c r="F132" s="95" t="str">
        <x:v>best rice cooker under $50 reviews; best rice cooker under $50 comparison; best rice cooker under $50 buying guide; best rice cooker under $50 for the money; top rated rice cooker under $50</x:v>
      </x:c>
      <x:c r="G132" s="95" t="str">
        <x:v>Commercial Investigation</x:v>
      </x:c>
      <x:c r="H132" s="95" t="str">
        <x:v>BOFU</x:v>
      </x:c>
      <x:c r="I132" s="95" t="str">
        <x:v>/best-rice-cooker-under-50/</x:v>
      </x:c>
      <x:c r="J132" s="95" t="str">
        <x:v>RC-PIL</x:v>
      </x:c>
      <x:c r="K132" s="95" t="str"/>
      <x:c r="L132" s="95" t="str"/>
      <x:c r="M132" s="95" t="str">
        <x:v>Validate top 10 results, weak domains, content format, freshness and shopping features before briefing.</x:v>
      </x:c>
      <x:c r="N132" s="95" t="str">
        <x:v>Required for model-specific reviews and roundups</x:v>
      </x:c>
      <x:c r="O132" s="101" t="str">
        <x:v>Not Started</x:v>
      </x:c>
    </x:row>
    <x:row r="133">
      <x:c r="A133" s="100" t="str">
        <x:v>RC-R02</x:v>
      </x:c>
      <x:c r="B133" s="95" t="str">
        <x:v>P3</x:v>
      </x:c>
      <x:c r="C133" s="95" t="str">
        <x:v>Rice Cookers</x:v>
      </x:c>
      <x:c r="D133" s="95" t="str">
        <x:v>Roundup</x:v>
      </x:c>
      <x:c r="E133" s="95" t="str">
        <x:v>best small rice cooker</x:v>
      </x:c>
      <x:c r="F133" s="95" t="str">
        <x:v>best small rice cooker reviews; best small rice cooker comparison; best small rice cooker buying guide; best small rice cooker for the money; top rated small rice cooker</x:v>
      </x:c>
      <x:c r="G133" s="95" t="str">
        <x:v>Commercial Investigation</x:v>
      </x:c>
      <x:c r="H133" s="95" t="str">
        <x:v>BOFU</x:v>
      </x:c>
      <x:c r="I133" s="95" t="str">
        <x:v>/best-small-rice-cooker/</x:v>
      </x:c>
      <x:c r="J133" s="95" t="str">
        <x:v>RC-PIL</x:v>
      </x:c>
      <x:c r="K133" s="95" t="str"/>
      <x:c r="L133" s="95" t="str"/>
      <x:c r="M133" s="95" t="str">
        <x:v>Validate top 10 results, weak domains, content format, freshness and shopping features before briefing.</x:v>
      </x:c>
      <x:c r="N133" s="95" t="str">
        <x:v>Required for model-specific reviews and roundups</x:v>
      </x:c>
      <x:c r="O133" s="101" t="str">
        <x:v>Not Started</x:v>
      </x:c>
    </x:row>
    <x:row r="134">
      <x:c r="A134" s="100" t="str">
        <x:v>RC-R03</x:v>
      </x:c>
      <x:c r="B134" s="95" t="str">
        <x:v>P3</x:v>
      </x:c>
      <x:c r="C134" s="95" t="str">
        <x:v>Rice Cookers</x:v>
      </x:c>
      <x:c r="D134" s="95" t="str">
        <x:v>Roundup</x:v>
      </x:c>
      <x:c r="E134" s="95" t="str">
        <x:v>best rice cooker for brown rice</x:v>
      </x:c>
      <x:c r="F134" s="95" t="str">
        <x:v>best rice cooker for brown rice reviews; best rice cooker for brown rice comparison; best rice cooker for brown rice buying guide; best rice cooker for brown rice for the money; top rated rice cooker for brown rice</x:v>
      </x:c>
      <x:c r="G134" s="95" t="str">
        <x:v>Commercial Investigation</x:v>
      </x:c>
      <x:c r="H134" s="95" t="str">
        <x:v>BOFU</x:v>
      </x:c>
      <x:c r="I134" s="95" t="str">
        <x:v>/best-rice-cooker-for-brown-rice/</x:v>
      </x:c>
      <x:c r="J134" s="95" t="str">
        <x:v>RC-PIL</x:v>
      </x:c>
      <x:c r="K134" s="95" t="str"/>
      <x:c r="L134" s="95" t="str"/>
      <x:c r="M134" s="95" t="str">
        <x:v>Validate top 10 results, weak domains, content format, freshness and shopping features before briefing.</x:v>
      </x:c>
      <x:c r="N134" s="95" t="str">
        <x:v>Required for model-specific reviews and roundups</x:v>
      </x:c>
      <x:c r="O134" s="101" t="str">
        <x:v>Not Started</x:v>
      </x:c>
    </x:row>
    <x:row r="135">
      <x:c r="A135" s="100" t="str">
        <x:v>TO-R05</x:v>
      </x:c>
      <x:c r="B135" s="95" t="str">
        <x:v>P3</x:v>
      </x:c>
      <x:c r="C135" s="95" t="str">
        <x:v>Toaster Ovens</x:v>
      </x:c>
      <x:c r="D135" s="95" t="str">
        <x:v>Roundup</x:v>
      </x:c>
      <x:c r="E135" s="95" t="str">
        <x:v>best toaster oven for pizza</x:v>
      </x:c>
      <x:c r="F135" s="95" t="str">
        <x:v>best toaster oven for pizza reviews; best toaster oven for pizza comparison; best toaster oven for pizza buying guide; best toaster oven for pizza for the money; top rated toaster oven for pizza</x:v>
      </x:c>
      <x:c r="G135" s="95" t="str">
        <x:v>Commercial Investigation</x:v>
      </x:c>
      <x:c r="H135" s="95" t="str">
        <x:v>BOFU</x:v>
      </x:c>
      <x:c r="I135" s="95" t="str">
        <x:v>/best-toaster-oven-for-pizza/</x:v>
      </x:c>
      <x:c r="J135" s="95" t="str">
        <x:v>TO-PIL</x:v>
      </x:c>
      <x:c r="K135" s="95" t="str"/>
      <x:c r="L135" s="95" t="str"/>
      <x:c r="M135" s="95" t="str">
        <x:v>Validate top 10 results, weak domains, content format, freshness and shopping features before briefing.</x:v>
      </x:c>
      <x:c r="N135" s="95" t="str">
        <x:v>Required for model-specific reviews and roundups</x:v>
      </x:c>
      <x:c r="O135" s="101" t="str">
        <x:v>Not Started</x:v>
      </x:c>
    </x:row>
    <x:row r="136">
      <x:c r="A136" s="100" t="str">
        <x:v>TO-R07</x:v>
      </x:c>
      <x:c r="B136" s="95" t="str">
        <x:v>P3</x:v>
      </x:c>
      <x:c r="C136" s="95" t="str">
        <x:v>Toaster Ovens</x:v>
      </x:c>
      <x:c r="D136" s="95" t="str">
        <x:v>Roundup</x:v>
      </x:c>
      <x:c r="E136" s="95" t="str">
        <x:v>best convection toaster oven</x:v>
      </x:c>
      <x:c r="F136" s="95" t="str">
        <x:v>best convection toaster oven reviews; best convection toaster oven comparison; best convection toaster oven buying guide; best convection toaster oven for the money; top rated convection toaster oven</x:v>
      </x:c>
      <x:c r="G136" s="95" t="str">
        <x:v>Commercial Investigation</x:v>
      </x:c>
      <x:c r="H136" s="95" t="str">
        <x:v>BOFU</x:v>
      </x:c>
      <x:c r="I136" s="95" t="str">
        <x:v>/best-convection-toaster-oven/</x:v>
      </x:c>
      <x:c r="J136" s="95" t="str">
        <x:v>TO-PIL</x:v>
      </x:c>
      <x:c r="K136" s="95" t="str"/>
      <x:c r="L136" s="95" t="str"/>
      <x:c r="M136" s="95" t="str">
        <x:v>Validate top 10 results, weak domains, content format, freshness and shopping features before briefing.</x:v>
      </x:c>
      <x:c r="N136" s="95" t="str">
        <x:v>Required for model-specific reviews and roundups</x:v>
      </x:c>
      <x:c r="O136" s="101" t="str">
        <x:v>Not Started</x:v>
      </x:c>
    </x:row>
    <x:row r="137">
      <x:c r="A137" s="100" t="str">
        <x:v>TO-R08</x:v>
      </x:c>
      <x:c r="B137" s="95" t="str">
        <x:v>P3</x:v>
      </x:c>
      <x:c r="C137" s="95" t="str">
        <x:v>Toaster Ovens</x:v>
      </x:c>
      <x:c r="D137" s="95" t="str">
        <x:v>Roundup</x:v>
      </x:c>
      <x:c r="E137" s="95" t="str">
        <x:v>best easy to clean toaster oven</x:v>
      </x:c>
      <x:c r="F137" s="95" t="str">
        <x:v>best easy to clean toaster oven reviews; best easy to clean toaster oven comparison; best easy to clean toaster oven buying guide; best easy to clean toaster oven for the money; top rated easy to clean toaster oven</x:v>
      </x:c>
      <x:c r="G137" s="95" t="str">
        <x:v>Commercial Investigation</x:v>
      </x:c>
      <x:c r="H137" s="95" t="str">
        <x:v>BOFU</x:v>
      </x:c>
      <x:c r="I137" s="95" t="str">
        <x:v>/best-easy-to-clean-toaster-oven/</x:v>
      </x:c>
      <x:c r="J137" s="95" t="str">
        <x:v>TO-PIL</x:v>
      </x:c>
      <x:c r="K137" s="95" t="str"/>
      <x:c r="L137" s="95" t="str"/>
      <x:c r="M137" s="95" t="str">
        <x:v>Validate top 10 results, weak domains, content format, freshness and shopping features before briefing.</x:v>
      </x:c>
      <x:c r="N137" s="95" t="str">
        <x:v>Required for model-specific reviews and roundups</x:v>
      </x:c>
      <x:c r="O137" s="101" t="str">
        <x:v>Not Started</x:v>
      </x:c>
    </x:row>
    <x:row r="138">
      <x:c r="A138" s="100" t="str">
        <x:v>CG-C01</x:v>
      </x:c>
      <x:c r="B138" s="95" t="str">
        <x:v>P3</x:v>
      </x:c>
      <x:c r="C138" s="95" t="str">
        <x:v>Coffee Grinders</x:v>
      </x:c>
      <x:c r="D138" s="95" t="str">
        <x:v>Comparison</x:v>
      </x:c>
      <x:c r="E138" s="95" t="str">
        <x:v>burr grinder vs blade grinder</x:v>
      </x:c>
      <x:c r="F138" s="95" t="str">
        <x:v>burr grinder vs blade grinder differences; burr grinder vs blade grinder which is better; burr grinder vs blade grinder performance; burr grinder vs blade grinder price; burr grinder vs blade grinder pros and cons</x:v>
      </x:c>
      <x:c r="G138" s="95" t="str">
        <x:v>Commercial Investigation</x:v>
      </x:c>
      <x:c r="H138" s="95" t="str">
        <x:v>BOFU</x:v>
      </x:c>
      <x:c r="I138" s="95" t="str">
        <x:v>/burr-grinder-vs-blade-grinder/</x:v>
      </x:c>
      <x:c r="J138" s="95" t="str">
        <x:v>CG-PIL</x:v>
      </x:c>
      <x:c r="K138" s="95" t="str"/>
      <x:c r="L138" s="95" t="str"/>
      <x:c r="M138" s="95" t="str">
        <x:v>Validate top 10 results, weak domains, content format, freshness and shopping features before briefing.</x:v>
      </x:c>
      <x:c r="N138" s="95" t="str">
        <x:v>Required for model-specific reviews and roundups</x:v>
      </x:c>
      <x:c r="O138" s="101" t="str">
        <x:v>Not Started</x:v>
      </x:c>
    </x:row>
    <x:row r="139">
      <x:c r="A139" s="100" t="str">
        <x:v>EK-C02</x:v>
      </x:c>
      <x:c r="B139" s="95" t="str">
        <x:v>P3</x:v>
      </x:c>
      <x:c r="C139" s="95" t="str">
        <x:v>Electric Kettles</x:v>
      </x:c>
      <x:c r="D139" s="95" t="str">
        <x:v>Comparison</x:v>
      </x:c>
      <x:c r="E139" s="95" t="str">
        <x:v>glass vs stainless steel kettle</x:v>
      </x:c>
      <x:c r="F139" s="95" t="str">
        <x:v>glass vs stainless steel kettle differences; glass vs stainless steel kettle which is better; glass vs stainless steel kettle performance; glass vs stainless steel kettle price; glass vs stainless steel kettle pros and cons</x:v>
      </x:c>
      <x:c r="G139" s="95" t="str">
        <x:v>Commercial Investigation</x:v>
      </x:c>
      <x:c r="H139" s="95" t="str">
        <x:v>BOFU</x:v>
      </x:c>
      <x:c r="I139" s="95" t="str">
        <x:v>/glass-vs-stainless-steel-kettle/</x:v>
      </x:c>
      <x:c r="J139" s="95" t="str">
        <x:v>EK-PIL</x:v>
      </x:c>
      <x:c r="K139" s="95" t="str"/>
      <x:c r="L139" s="95" t="str"/>
      <x:c r="M139" s="95" t="str">
        <x:v>Validate top 10 results, weak domains, content format, freshness and shopping features before briefing.</x:v>
      </x:c>
      <x:c r="N139" s="95" t="str">
        <x:v>Required for model-specific reviews and roundups</x:v>
      </x:c>
      <x:c r="O139" s="101" t="str">
        <x:v>Not Started</x:v>
      </x:c>
    </x:row>
    <x:row r="140">
      <x:c r="A140" s="100" t="str">
        <x:v>EK-C03</x:v>
      </x:c>
      <x:c r="B140" s="95" t="str">
        <x:v>P3</x:v>
      </x:c>
      <x:c r="C140" s="95" t="str">
        <x:v>Electric Kettles</x:v>
      </x:c>
      <x:c r="D140" s="95" t="str">
        <x:v>Comparison</x:v>
      </x:c>
      <x:c r="E140" s="95" t="str">
        <x:v>variable temperature vs regular kettle</x:v>
      </x:c>
      <x:c r="F140" s="95" t="str">
        <x:v>variable temperature vs regular kettle differences; variable temperature vs regular kettle which is better; variable temperature vs regular kettle performance; variable temperature vs regular kettle price; variable temperature vs regular kettle pros and cons</x:v>
      </x:c>
      <x:c r="G140" s="95" t="str">
        <x:v>Commercial Investigation</x:v>
      </x:c>
      <x:c r="H140" s="95" t="str">
        <x:v>BOFU</x:v>
      </x:c>
      <x:c r="I140" s="95" t="str">
        <x:v>/variable-temperature-vs-regular-kettle/</x:v>
      </x:c>
      <x:c r="J140" s="95" t="str">
        <x:v>EK-PIL</x:v>
      </x:c>
      <x:c r="K140" s="95" t="str"/>
      <x:c r="L140" s="95" t="str"/>
      <x:c r="M140" s="95" t="str">
        <x:v>Validate top 10 results, weak domains, content format, freshness and shopping features before briefing.</x:v>
      </x:c>
      <x:c r="N140" s="95" t="str">
        <x:v>Required for model-specific reviews and roundups</x:v>
      </x:c>
      <x:c r="O140" s="101" t="str">
        <x:v>Not Started</x:v>
      </x:c>
    </x:row>
    <x:row r="141">
      <x:c r="A141" s="100" t="str">
        <x:v>FP-C01</x:v>
      </x:c>
      <x:c r="B141" s="95" t="str">
        <x:v>P3</x:v>
      </x:c>
      <x:c r="C141" s="95" t="str">
        <x:v>Food Processors</x:v>
      </x:c>
      <x:c r="D141" s="95" t="str">
        <x:v>Comparison</x:v>
      </x:c>
      <x:c r="E141" s="95" t="str">
        <x:v>cuisinart vs kitchenaid food processor</x:v>
      </x:c>
      <x:c r="F141" s="95" t="str">
        <x:v>cuisinart vs kitchenaid food processor differences; cuisinart vs kitchenaid food processor which is better; cuisinart vs kitchenaid food processor performance; cuisinart vs kitchenaid food processor price; cuisinart vs kitchenaid food processor pros and cons</x:v>
      </x:c>
      <x:c r="G141" s="95" t="str">
        <x:v>Commercial Investigation</x:v>
      </x:c>
      <x:c r="H141" s="95" t="str">
        <x:v>BOFU</x:v>
      </x:c>
      <x:c r="I141" s="95" t="str">
        <x:v>/cuisinart-vs-kitchenaid-food-processor/</x:v>
      </x:c>
      <x:c r="J141" s="95" t="str">
        <x:v>FP-PIL</x:v>
      </x:c>
      <x:c r="K141" s="95" t="str"/>
      <x:c r="L141" s="95" t="str"/>
      <x:c r="M141" s="95" t="str">
        <x:v>Validate top 10 results, weak domains, content format, freshness and shopping features before briefing.</x:v>
      </x:c>
      <x:c r="N141" s="95" t="str">
        <x:v>Required for model-specific reviews and roundups</x:v>
      </x:c>
      <x:c r="O141" s="101" t="str">
        <x:v>Not Started</x:v>
      </x:c>
    </x:row>
    <x:row r="142">
      <x:c r="A142" s="100" t="str">
        <x:v>FP-C02</x:v>
      </x:c>
      <x:c r="B142" s="95" t="str">
        <x:v>P3</x:v>
      </x:c>
      <x:c r="C142" s="95" t="str">
        <x:v>Food Processors</x:v>
      </x:c>
      <x:c r="D142" s="95" t="str">
        <x:v>Comparison</x:v>
      </x:c>
      <x:c r="E142" s="95" t="str">
        <x:v>food processor vs mini chopper</x:v>
      </x:c>
      <x:c r="F142" s="95" t="str">
        <x:v>food processor vs mini chopper differences; food processor vs mini chopper which is better; food processor vs mini chopper performance; food processor vs mini chopper price; food processor vs mini chopper pros and cons</x:v>
      </x:c>
      <x:c r="G142" s="95" t="str">
        <x:v>Commercial Investigation</x:v>
      </x:c>
      <x:c r="H142" s="95" t="str">
        <x:v>BOFU</x:v>
      </x:c>
      <x:c r="I142" s="95" t="str">
        <x:v>/food-processor-vs-mini-chopper/</x:v>
      </x:c>
      <x:c r="J142" s="95" t="str">
        <x:v>FP-PIL</x:v>
      </x:c>
      <x:c r="K142" s="95" t="str"/>
      <x:c r="L142" s="95" t="str"/>
      <x:c r="M142" s="95" t="str">
        <x:v>Validate top 10 results, weak domains, content format, freshness and shopping features before briefing.</x:v>
      </x:c>
      <x:c r="N142" s="95" t="str">
        <x:v>Required for model-specific reviews and roundups</x:v>
      </x:c>
      <x:c r="O142" s="101" t="str">
        <x:v>Not Started</x:v>
      </x:c>
    </x:row>
    <x:row r="143">
      <x:c r="A143" s="100" t="str">
        <x:v>MC-C01</x:v>
      </x:c>
      <x:c r="B143" s="95" t="str">
        <x:v>P3</x:v>
      </x:c>
      <x:c r="C143" s="95" t="str">
        <x:v>Mini Choppers</x:v>
      </x:c>
      <x:c r="D143" s="95" t="str">
        <x:v>Comparison</x:v>
      </x:c>
      <x:c r="E143" s="95" t="str">
        <x:v>mini chopper vs food processor</x:v>
      </x:c>
      <x:c r="F143" s="95" t="str">
        <x:v>mini chopper vs food processor differences; mini chopper vs food processor which is better; mini chopper vs food processor performance; mini chopper vs food processor price; mini chopper vs food processor pros and cons</x:v>
      </x:c>
      <x:c r="G143" s="95" t="str">
        <x:v>Commercial Investigation</x:v>
      </x:c>
      <x:c r="H143" s="95" t="str">
        <x:v>BOFU</x:v>
      </x:c>
      <x:c r="I143" s="95" t="str">
        <x:v>/mini-chopper-vs-food-processor/</x:v>
      </x:c>
      <x:c r="J143" s="95" t="str">
        <x:v>MC-PIL</x:v>
      </x:c>
      <x:c r="K143" s="95" t="str"/>
      <x:c r="L143" s="95" t="str"/>
      <x:c r="M143" s="95" t="str">
        <x:v>Validate top 10 results, weak domains, content format, freshness and shopping features before briefing.</x:v>
      </x:c>
      <x:c r="N143" s="95" t="str">
        <x:v>Required for model-specific reviews and roundups</x:v>
      </x:c>
      <x:c r="O143" s="101" t="str">
        <x:v>Not Started</x:v>
      </x:c>
    </x:row>
    <x:row r="144">
      <x:c r="A144" s="100" t="str">
        <x:v>RC-C01</x:v>
      </x:c>
      <x:c r="B144" s="95" t="str">
        <x:v>P3</x:v>
      </x:c>
      <x:c r="C144" s="95" t="str">
        <x:v>Rice Cookers</x:v>
      </x:c>
      <x:c r="D144" s="95" t="str">
        <x:v>Comparison</x:v>
      </x:c>
      <x:c r="E144" s="95" t="str">
        <x:v>rice cooker vs instant pot</x:v>
      </x:c>
      <x:c r="F144" s="95" t="str">
        <x:v>rice cooker vs instant pot differences; rice cooker vs instant pot which is better; rice cooker vs instant pot performance; rice cooker vs instant pot price; rice cooker vs instant pot pros and cons</x:v>
      </x:c>
      <x:c r="G144" s="95" t="str">
        <x:v>Commercial Investigation</x:v>
      </x:c>
      <x:c r="H144" s="95" t="str">
        <x:v>BOFU</x:v>
      </x:c>
      <x:c r="I144" s="95" t="str">
        <x:v>/rice-cooker-vs-instant-pot/</x:v>
      </x:c>
      <x:c r="J144" s="95" t="str">
        <x:v>RC-PIL</x:v>
      </x:c>
      <x:c r="K144" s="95" t="str"/>
      <x:c r="L144" s="95" t="str"/>
      <x:c r="M144" s="95" t="str">
        <x:v>Validate top 10 results, weak domains, content format, freshness and shopping features before briefing.</x:v>
      </x:c>
      <x:c r="N144" s="95" t="str">
        <x:v>Required for model-specific reviews and roundups</x:v>
      </x:c>
      <x:c r="O144" s="101" t="str">
        <x:v>Not Started</x:v>
      </x:c>
    </x:row>
    <x:row r="145">
      <x:c r="A145" s="100" t="str">
        <x:v>TO-C03</x:v>
      </x:c>
      <x:c r="B145" s="95" t="str">
        <x:v>P3</x:v>
      </x:c>
      <x:c r="C145" s="95" t="str">
        <x:v>Toaster Ovens</x:v>
      </x:c>
      <x:c r="D145" s="95" t="str">
        <x:v>Comparison</x:v>
      </x:c>
      <x:c r="E145" s="95" t="str">
        <x:v>toaster oven vs microwave</x:v>
      </x:c>
      <x:c r="F145" s="95" t="str">
        <x:v>toaster oven vs microwave differences; toaster oven vs microwave which is better; toaster oven vs microwave performance; toaster oven vs microwave price; toaster oven vs microwave pros and cons</x:v>
      </x:c>
      <x:c r="G145" s="95" t="str">
        <x:v>Commercial Investigation</x:v>
      </x:c>
      <x:c r="H145" s="95" t="str">
        <x:v>BOFU</x:v>
      </x:c>
      <x:c r="I145" s="95" t="str">
        <x:v>/toaster-oven-vs-microwave/</x:v>
      </x:c>
      <x:c r="J145" s="95" t="str">
        <x:v>TO-PIL</x:v>
      </x:c>
      <x:c r="K145" s="95" t="str"/>
      <x:c r="L145" s="95" t="str"/>
      <x:c r="M145" s="95" t="str">
        <x:v>Validate top 10 results, weak domains, content format, freshness and shopping features before briefing.</x:v>
      </x:c>
      <x:c r="N145" s="95" t="str">
        <x:v>Required for model-specific reviews and roundups</x:v>
      </x:c>
      <x:c r="O145" s="101" t="str">
        <x:v>Not Started</x:v>
      </x:c>
    </x:row>
    <x:row r="146">
      <x:c r="A146" s="100" t="str">
        <x:v>AF-V06</x:v>
      </x:c>
      <x:c r="B146" s="95" t="str">
        <x:v>P3</x:v>
      </x:c>
      <x:c r="C146" s="95" t="str">
        <x:v>Air Fryers</x:v>
      </x:c>
      <x:c r="D146" s="95" t="str">
        <x:v>Single Review</x:v>
      </x:c>
      <x:c r="E146" s="95" t="str">
        <x:v>chefman turbofry review</x:v>
      </x:c>
      <x:c r="F146" s="95" t="str">
        <x:v>chefman turbofry pros and cons; is chefman turbofry worth it; chefman turbofry alternatives; chefman turbofry performance; chefman turbofry specifications</x:v>
      </x:c>
      <x:c r="G146" s="95" t="str">
        <x:v>Commercial Investigation</x:v>
      </x:c>
      <x:c r="H146" s="95" t="str">
        <x:v>BOFU</x:v>
      </x:c>
      <x:c r="I146" s="95" t="str">
        <x:v>/chefman-turbofry-review/</x:v>
      </x:c>
      <x:c r="J146" s="95" t="str">
        <x:v>AF-PIL</x:v>
      </x:c>
      <x:c r="K146" s="95" t="str"/>
      <x:c r="L146" s="95" t="str"/>
      <x:c r="M146" s="95" t="str">
        <x:v>Validate top 10 results, weak domains, content format, freshness and shopping features before briefing.</x:v>
      </x:c>
      <x:c r="N146" s="95" t="str">
        <x:v>Required for model-specific reviews and roundups</x:v>
      </x:c>
      <x:c r="O146" s="101" t="str">
        <x:v>Not Started</x:v>
      </x:c>
    </x:row>
    <x:row r="147">
      <x:c r="A147" s="100" t="str">
        <x:v>BL-V05</x:v>
      </x:c>
      <x:c r="B147" s="95" t="str">
        <x:v>P3</x:v>
      </x:c>
      <x:c r="C147" s="95" t="str">
        <x:v>Blenders</x:v>
      </x:c>
      <x:c r="D147" s="95" t="str">
        <x:v>Single Review</x:v>
      </x:c>
      <x:c r="E147" s="95" t="str">
        <x:v>beast blender review</x:v>
      </x:c>
      <x:c r="F147" s="95" t="str">
        <x:v>beast blender pros and cons; is beast blender worth it; beast blender alternatives; beast blender performance; beast blender specifications</x:v>
      </x:c>
      <x:c r="G147" s="95" t="str">
        <x:v>Commercial Investigation</x:v>
      </x:c>
      <x:c r="H147" s="95" t="str">
        <x:v>BOFU</x:v>
      </x:c>
      <x:c r="I147" s="95" t="str">
        <x:v>/beast-blender-review/</x:v>
      </x:c>
      <x:c r="J147" s="95" t="str">
        <x:v>BL-PIL</x:v>
      </x:c>
      <x:c r="K147" s="95" t="str"/>
      <x:c r="L147" s="95" t="str"/>
      <x:c r="M147" s="95" t="str">
        <x:v>Validate top 10 results, weak domains, content format, freshness and shopping features before briefing.</x:v>
      </x:c>
      <x:c r="N147" s="95" t="str">
        <x:v>Required for model-specific reviews and roundups</x:v>
      </x:c>
      <x:c r="O147" s="101" t="str">
        <x:v>Not Started</x:v>
      </x:c>
    </x:row>
    <x:row r="148">
      <x:c r="A148" s="100" t="str">
        <x:v>BL-V06</x:v>
      </x:c>
      <x:c r="B148" s="95" t="str">
        <x:v>P3</x:v>
      </x:c>
      <x:c r="C148" s="95" t="str">
        <x:v>Blenders</x:v>
      </x:c>
      <x:c r="D148" s="95" t="str">
        <x:v>Single Review</x:v>
      </x:c>
      <x:c r="E148" s="95" t="str">
        <x:v>blendjet review</x:v>
      </x:c>
      <x:c r="F148" s="95" t="str">
        <x:v>blendjet pros and cons; is blendjet worth it; blendjet alternatives; blendjet performance; blendjet specifications</x:v>
      </x:c>
      <x:c r="G148" s="95" t="str">
        <x:v>Commercial Investigation</x:v>
      </x:c>
      <x:c r="H148" s="95" t="str">
        <x:v>BOFU</x:v>
      </x:c>
      <x:c r="I148" s="95" t="str">
        <x:v>/blendjet-review/</x:v>
      </x:c>
      <x:c r="J148" s="95" t="str">
        <x:v>BL-PIL</x:v>
      </x:c>
      <x:c r="K148" s="95" t="str"/>
      <x:c r="L148" s="95" t="str"/>
      <x:c r="M148" s="95" t="str">
        <x:v>Validate top 10 results, weak domains, content format, freshness and shopping features before briefing.</x:v>
      </x:c>
      <x:c r="N148" s="95" t="str">
        <x:v>Required for model-specific reviews and roundups</x:v>
      </x:c>
      <x:c r="O148" s="101" t="str">
        <x:v>Not Started</x:v>
      </x:c>
    </x:row>
    <x:row r="149">
      <x:c r="A149" s="100" t="str">
        <x:v>EK-V02</x:v>
      </x:c>
      <x:c r="B149" s="95" t="str">
        <x:v>P3</x:v>
      </x:c>
      <x:c r="C149" s="95" t="str">
        <x:v>Electric Kettles</x:v>
      </x:c>
      <x:c r="D149" s="95" t="str">
        <x:v>Single Review</x:v>
      </x:c>
      <x:c r="E149" s="95" t="str">
        <x:v>cuisinart perfectemp kettle review</x:v>
      </x:c>
      <x:c r="F149" s="95" t="str">
        <x:v>cuisinart perfectemp kettle pros and cons; is cuisinart perfectemp kettle worth it; cuisinart perfectemp kettle alternatives; cuisinart perfectemp kettle performance; cuisinart perfectemp kettle specifications</x:v>
      </x:c>
      <x:c r="G149" s="95" t="str">
        <x:v>Commercial Investigation</x:v>
      </x:c>
      <x:c r="H149" s="95" t="str">
        <x:v>BOFU</x:v>
      </x:c>
      <x:c r="I149" s="95" t="str">
        <x:v>/cuisinart-perfectemp-kettle-review/</x:v>
      </x:c>
      <x:c r="J149" s="95" t="str">
        <x:v>EK-PIL</x:v>
      </x:c>
      <x:c r="K149" s="95" t="str"/>
      <x:c r="L149" s="95" t="str"/>
      <x:c r="M149" s="95" t="str">
        <x:v>Validate top 10 results, weak domains, content format, freshness and shopping features before briefing.</x:v>
      </x:c>
      <x:c r="N149" s="95" t="str">
        <x:v>Required for model-specific reviews and roundups</x:v>
      </x:c>
      <x:c r="O149" s="101" t="str">
        <x:v>Not Started</x:v>
      </x:c>
    </x:row>
    <x:row r="150">
      <x:c r="A150" s="100" t="str">
        <x:v>EK-V03</x:v>
      </x:c>
      <x:c r="B150" s="95" t="str">
        <x:v>P3</x:v>
      </x:c>
      <x:c r="C150" s="95" t="str">
        <x:v>Electric Kettles</x:v>
      </x:c>
      <x:c r="D150" s="95" t="str">
        <x:v>Single Review</x:v>
      </x:c>
      <x:c r="E150" s="95" t="str">
        <x:v>cosori gooseneck kettle review</x:v>
      </x:c>
      <x:c r="F150" s="95" t="str">
        <x:v>cosori gooseneck kettle pros and cons; is cosori gooseneck kettle worth it; cosori gooseneck kettle alternatives; cosori gooseneck kettle performance; cosori gooseneck kettle specifications</x:v>
      </x:c>
      <x:c r="G150" s="95" t="str">
        <x:v>Commercial Investigation</x:v>
      </x:c>
      <x:c r="H150" s="95" t="str">
        <x:v>BOFU</x:v>
      </x:c>
      <x:c r="I150" s="95" t="str">
        <x:v>/cosori-gooseneck-kettle-review/</x:v>
      </x:c>
      <x:c r="J150" s="95" t="str">
        <x:v>EK-PIL</x:v>
      </x:c>
      <x:c r="K150" s="95" t="str"/>
      <x:c r="L150" s="95" t="str"/>
      <x:c r="M150" s="95" t="str">
        <x:v>Validate top 10 results, weak domains, content format, freshness and shopping features before briefing.</x:v>
      </x:c>
      <x:c r="N150" s="95" t="str">
        <x:v>Required for model-specific reviews and roundups</x:v>
      </x:c>
      <x:c r="O150" s="101" t="str">
        <x:v>Not Started</x:v>
      </x:c>
    </x:row>
    <x:row r="151">
      <x:c r="A151" s="100" t="str">
        <x:v>FP-V01</x:v>
      </x:c>
      <x:c r="B151" s="95" t="str">
        <x:v>P3</x:v>
      </x:c>
      <x:c r="C151" s="95" t="str">
        <x:v>Food Processors</x:v>
      </x:c>
      <x:c r="D151" s="95" t="str">
        <x:v>Single Review</x:v>
      </x:c>
      <x:c r="E151" s="95" t="str">
        <x:v>cuisinart 14 cup food processor review</x:v>
      </x:c>
      <x:c r="F151" s="95" t="str">
        <x:v>cuisinart 14 cup food processor pros and cons; is cuisinart 14 cup food processor worth it; cuisinart 14 cup food processor alternatives; cuisinart 14 cup food processor performance; cuisinart 14 cup food processor specifications</x:v>
      </x:c>
      <x:c r="G151" s="95" t="str">
        <x:v>Commercial Investigation</x:v>
      </x:c>
      <x:c r="H151" s="95" t="str">
        <x:v>BOFU</x:v>
      </x:c>
      <x:c r="I151" s="95" t="str">
        <x:v>/cuisinart-14-cup-food-processor-review/</x:v>
      </x:c>
      <x:c r="J151" s="95" t="str">
        <x:v>FP-PIL</x:v>
      </x:c>
      <x:c r="K151" s="95" t="str"/>
      <x:c r="L151" s="95" t="str"/>
      <x:c r="M151" s="95" t="str">
        <x:v>Validate top 10 results, weak domains, content format, freshness and shopping features before briefing.</x:v>
      </x:c>
      <x:c r="N151" s="95" t="str">
        <x:v>Required for model-specific reviews and roundups</x:v>
      </x:c>
      <x:c r="O151" s="101" t="str">
        <x:v>Not Started</x:v>
      </x:c>
    </x:row>
    <x:row r="152">
      <x:c r="A152" s="100" t="str">
        <x:v>TO-V02</x:v>
      </x:c>
      <x:c r="B152" s="95" t="str">
        <x:v>P3</x:v>
      </x:c>
      <x:c r="C152" s="95" t="str">
        <x:v>Toaster Ovens</x:v>
      </x:c>
      <x:c r="D152" s="95" t="str">
        <x:v>Single Review</x:v>
      </x:c>
      <x:c r="E152" s="95" t="str">
        <x:v>cuisinart chefs convection toaster oven review</x:v>
      </x:c>
      <x:c r="F152" s="95" t="str">
        <x:v>cuisinart chefs convection toaster oven pros and cons; is cuisinart chefs convection toaster oven worth it; cuisinart chefs convection toaster oven alternatives; cuisinart chefs convection toaster oven performance; cuisinart chefs convection toaster oven specifications</x:v>
      </x:c>
      <x:c r="G152" s="95" t="str">
        <x:v>Commercial Investigation</x:v>
      </x:c>
      <x:c r="H152" s="95" t="str">
        <x:v>BOFU</x:v>
      </x:c>
      <x:c r="I152" s="95" t="str">
        <x:v>/cuisinart-chefs-convection-toaster-oven-review/</x:v>
      </x:c>
      <x:c r="J152" s="95" t="str">
        <x:v>TO-PIL</x:v>
      </x:c>
      <x:c r="K152" s="95" t="str"/>
      <x:c r="L152" s="95" t="str"/>
      <x:c r="M152" s="95" t="str">
        <x:v>Validate top 10 results, weak domains, content format, freshness and shopping features before briefing.</x:v>
      </x:c>
      <x:c r="N152" s="95" t="str">
        <x:v>Required for model-specific reviews and roundups</x:v>
      </x:c>
      <x:c r="O152" s="101" t="str">
        <x:v>Not Started</x:v>
      </x:c>
    </x:row>
    <x:row r="153">
      <x:c r="A153" s="100" t="str">
        <x:v>TO-V03</x:v>
      </x:c>
      <x:c r="B153" s="95" t="str">
        <x:v>P3</x:v>
      </x:c>
      <x:c r="C153" s="95" t="str">
        <x:v>Toaster Ovens</x:v>
      </x:c>
      <x:c r="D153" s="95" t="str">
        <x:v>Single Review</x:v>
      </x:c>
      <x:c r="E153" s="95" t="str">
        <x:v>ninja foodi digital air fry oven review</x:v>
      </x:c>
      <x:c r="F153" s="95" t="str">
        <x:v>ninja foodi digital air fry oven pros and cons; is ninja foodi digital air fry oven worth it; ninja foodi digital air fry oven alternatives; ninja foodi digital air fry oven performance; ninja foodi digital air fry oven specifications</x:v>
      </x:c>
      <x:c r="G153" s="95" t="str">
        <x:v>Commercial Investigation</x:v>
      </x:c>
      <x:c r="H153" s="95" t="str">
        <x:v>BOFU</x:v>
      </x:c>
      <x:c r="I153" s="95" t="str">
        <x:v>/ninja-foodi-digital-air-fry-oven-review/</x:v>
      </x:c>
      <x:c r="J153" s="95" t="str">
        <x:v>TO-PIL</x:v>
      </x:c>
      <x:c r="K153" s="95" t="str"/>
      <x:c r="L153" s="95" t="str"/>
      <x:c r="M153" s="95" t="str">
        <x:v>Validate top 10 results, weak domains, content format, freshness and shopping features before briefing.</x:v>
      </x:c>
      <x:c r="N153" s="95" t="str">
        <x:v>Required for model-specific reviews and roundups</x:v>
      </x:c>
      <x:c r="O153" s="101" t="str">
        <x:v>Not Started</x:v>
      </x:c>
    </x:row>
    <x:row r="154">
      <x:c r="A154" s="100" t="str">
        <x:v>AF-G10</x:v>
      </x:c>
      <x:c r="B154" s="95" t="str">
        <x:v>P3</x:v>
      </x:c>
      <x:c r="C154" s="95" t="str">
        <x:v>Air Fryers</x:v>
      </x:c>
      <x:c r="D154" s="95" t="str">
        <x:v>Buying Guide</x:v>
      </x:c>
      <x:c r="E154" s="95" t="str">
        <x:v>air fryer safety guide</x:v>
      </x:c>
      <x:c r="F154" s="95" t="str">
        <x:v>how to choose air fryer safety guide; air fryer safety guide features; air fryer safety guide size; air fryer safety guide wattage; air fryer safety guide checklist</x:v>
      </x:c>
      <x:c r="G154" s="95" t="str">
        <x:v>Informational</x:v>
      </x:c>
      <x:c r="H154" s="95" t="str">
        <x:v>TOFU/MOFU</x:v>
      </x:c>
      <x:c r="I154" s="95" t="str">
        <x:v>/air-fryer-safety-guide/</x:v>
      </x:c>
      <x:c r="J154" s="95" t="str">
        <x:v>AF-HUB</x:v>
      </x:c>
      <x:c r="K154" s="95" t="str"/>
      <x:c r="L154" s="95" t="str"/>
      <x:c r="M154" s="95" t="str">
        <x:v>Validate top 10 results, weak domains, content format, freshness and shopping features before briefing.</x:v>
      </x:c>
      <x:c r="N154" s="95" t="str">
        <x:v>Required for model-specific reviews and roundups</x:v>
      </x:c>
      <x:c r="O154" s="101" t="str">
        <x:v>Not Started</x:v>
      </x:c>
    </x:row>
    <x:row r="155">
      <x:c r="A155" s="100" t="str">
        <x:v>CG-G01</x:v>
      </x:c>
      <x:c r="B155" s="95" t="str">
        <x:v>P3</x:v>
      </x:c>
      <x:c r="C155" s="95" t="str">
        <x:v>Coffee Grinders</x:v>
      </x:c>
      <x:c r="D155" s="95" t="str">
        <x:v>Buying Guide</x:v>
      </x:c>
      <x:c r="E155" s="95" t="str">
        <x:v>coffee grinder buying guide</x:v>
      </x:c>
      <x:c r="F155" s="95" t="str">
        <x:v>how to choose coffee grinder; coffee grinder buying guide features; coffee grinder buying guide size; coffee grinder buying guide wattage; coffee grinder buying guide checklist</x:v>
      </x:c>
      <x:c r="G155" s="95" t="str">
        <x:v>Informational</x:v>
      </x:c>
      <x:c r="H155" s="95" t="str">
        <x:v>TOFU/MOFU</x:v>
      </x:c>
      <x:c r="I155" s="95" t="str">
        <x:v>/coffee-grinder-buying-guide/</x:v>
      </x:c>
      <x:c r="J155" s="95" t="str">
        <x:v>CG-HUB</x:v>
      </x:c>
      <x:c r="K155" s="95" t="str"/>
      <x:c r="L155" s="95" t="str"/>
      <x:c r="M155" s="95" t="str">
        <x:v>Validate top 10 results, weak domains, content format, freshness and shopping features before briefing.</x:v>
      </x:c>
      <x:c r="N155" s="95" t="str">
        <x:v>Required for model-specific reviews and roundups</x:v>
      </x:c>
      <x:c r="O155" s="101" t="str">
        <x:v>Not Started</x:v>
      </x:c>
    </x:row>
    <x:row r="156">
      <x:c r="A156" s="100" t="str">
        <x:v>CC-G10</x:v>
      </x:c>
      <x:c r="B156" s="95" t="str">
        <x:v>P3</x:v>
      </x:c>
      <x:c r="C156" s="95" t="str">
        <x:v>Cross-Category</x:v>
      </x:c>
      <x:c r="D156" s="95" t="str">
        <x:v>Buying Guide</x:v>
      </x:c>
      <x:c r="E156" s="95" t="str">
        <x:v>kitchen appliance warranty guide</x:v>
      </x:c>
      <x:c r="F156" s="95" t="str">
        <x:v>how to choose kitchen appliance warranty guide; kitchen appliance warranty guide features; kitchen appliance warranty guide size; kitchen appliance warranty guide wattage; kitchen appliance warranty guide checklist</x:v>
      </x:c>
      <x:c r="G156" s="95" t="str">
        <x:v>Informational</x:v>
      </x:c>
      <x:c r="H156" s="95" t="str">
        <x:v>TOFU/MOFU</x:v>
      </x:c>
      <x:c r="I156" s="95" t="str">
        <x:v>/kitchen-appliance-warranty-guide/</x:v>
      </x:c>
      <x:c r="J156" s="95" t="str"/>
      <x:c r="K156" s="95" t="str"/>
      <x:c r="L156" s="95" t="str"/>
      <x:c r="M156" s="95" t="str">
        <x:v>Validate top 10 results, weak domains, content format, freshness and shopping features before briefing.</x:v>
      </x:c>
      <x:c r="N156" s="95" t="str">
        <x:v>Required for model-specific reviews and roundups</x:v>
      </x:c>
      <x:c r="O156" s="101" t="str">
        <x:v>Not Started</x:v>
      </x:c>
    </x:row>
    <x:row r="157">
      <x:c r="A157" s="100" t="str">
        <x:v>FP-G01</x:v>
      </x:c>
      <x:c r="B157" s="95" t="str">
        <x:v>P3</x:v>
      </x:c>
      <x:c r="C157" s="95" t="str">
        <x:v>Food Processors</x:v>
      </x:c>
      <x:c r="D157" s="95" t="str">
        <x:v>Buying Guide</x:v>
      </x:c>
      <x:c r="E157" s="95" t="str">
        <x:v>food processor buying guide</x:v>
      </x:c>
      <x:c r="F157" s="95" t="str">
        <x:v>how to choose food processor; food processor buying guide features; food processor buying guide size; food processor buying guide wattage; food processor buying guide checklist</x:v>
      </x:c>
      <x:c r="G157" s="95" t="str">
        <x:v>Informational</x:v>
      </x:c>
      <x:c r="H157" s="95" t="str">
        <x:v>TOFU/MOFU</x:v>
      </x:c>
      <x:c r="I157" s="95" t="str">
        <x:v>/food-processor-buying-guide/</x:v>
      </x:c>
      <x:c r="J157" s="95" t="str">
        <x:v>FP-HUB</x:v>
      </x:c>
      <x:c r="K157" s="95" t="str"/>
      <x:c r="L157" s="95" t="str"/>
      <x:c r="M157" s="95" t="str">
        <x:v>Validate top 10 results, weak domains, content format, freshness and shopping features before briefing.</x:v>
      </x:c>
      <x:c r="N157" s="95" t="str">
        <x:v>Required for model-specific reviews and roundups</x:v>
      </x:c>
      <x:c r="O157" s="101" t="str">
        <x:v>Not Started</x:v>
      </x:c>
    </x:row>
    <x:row r="158">
      <x:c r="A158" s="100" t="str">
        <x:v>MC-G01</x:v>
      </x:c>
      <x:c r="B158" s="95" t="str">
        <x:v>P3</x:v>
      </x:c>
      <x:c r="C158" s="95" t="str">
        <x:v>Mini Choppers</x:v>
      </x:c>
      <x:c r="D158" s="95" t="str">
        <x:v>Buying Guide</x:v>
      </x:c>
      <x:c r="E158" s="95" t="str">
        <x:v>mini food chopper buying guide</x:v>
      </x:c>
      <x:c r="F158" s="95" t="str">
        <x:v>how to choose mini food chopper; mini food chopper buying guide features; mini food chopper buying guide size; mini food chopper buying guide wattage; mini food chopper buying guide checklist</x:v>
      </x:c>
      <x:c r="G158" s="95" t="str">
        <x:v>Informational</x:v>
      </x:c>
      <x:c r="H158" s="95" t="str">
        <x:v>TOFU/MOFU</x:v>
      </x:c>
      <x:c r="I158" s="95" t="str">
        <x:v>/mini-food-chopper-buying-guide/</x:v>
      </x:c>
      <x:c r="J158" s="95" t="str">
        <x:v>MC-HUB</x:v>
      </x:c>
      <x:c r="K158" s="95" t="str"/>
      <x:c r="L158" s="95" t="str"/>
      <x:c r="M158" s="95" t="str">
        <x:v>Validate top 10 results, weak domains, content format, freshness and shopping features before briefing.</x:v>
      </x:c>
      <x:c r="N158" s="95" t="str">
        <x:v>Required for model-specific reviews and roundups</x:v>
      </x:c>
      <x:c r="O158" s="101" t="str">
        <x:v>Not Started</x:v>
      </x:c>
    </x:row>
    <x:row r="159">
      <x:c r="A159" s="100" t="str">
        <x:v>RC-G01</x:v>
      </x:c>
      <x:c r="B159" s="95" t="str">
        <x:v>P3</x:v>
      </x:c>
      <x:c r="C159" s="95" t="str">
        <x:v>Rice Cookers</x:v>
      </x:c>
      <x:c r="D159" s="95" t="str">
        <x:v>Buying Guide</x:v>
      </x:c>
      <x:c r="E159" s="95" t="str">
        <x:v>rice cooker buying guide</x:v>
      </x:c>
      <x:c r="F159" s="95" t="str">
        <x:v>how to choose rice cooker; rice cooker buying guide features; rice cooker buying guide size; rice cooker buying guide wattage; rice cooker buying guide checklist</x:v>
      </x:c>
      <x:c r="G159" s="95" t="str">
        <x:v>Informational</x:v>
      </x:c>
      <x:c r="H159" s="95" t="str">
        <x:v>TOFU/MOFU</x:v>
      </x:c>
      <x:c r="I159" s="95" t="str">
        <x:v>/rice-cooker-buying-guide/</x:v>
      </x:c>
      <x:c r="J159" s="95" t="str">
        <x:v>RC-HUB</x:v>
      </x:c>
      <x:c r="K159" s="95" t="str"/>
      <x:c r="L159" s="95" t="str"/>
      <x:c r="M159" s="95" t="str">
        <x:v>Validate top 10 results, weak domains, content format, freshness and shopping features before briefing.</x:v>
      </x:c>
      <x:c r="N159" s="95" t="str">
        <x:v>Required for model-specific reviews and roundups</x:v>
      </x:c>
      <x:c r="O159" s="101" t="str">
        <x:v>Not Started</x:v>
      </x:c>
    </x:row>
    <x:row r="160">
      <x:c r="A160" s="100" t="str">
        <x:v>CC-G07</x:v>
      </x:c>
      <x:c r="B160" s="95" t="str">
        <x:v>P3</x:v>
      </x:c>
      <x:c r="C160" s="95" t="str">
        <x:v>Cross-Category</x:v>
      </x:c>
      <x:c r="D160" s="95" t="str">
        <x:v>Accessory Roundup</x:v>
      </x:c>
      <x:c r="E160" s="95" t="str">
        <x:v>best appliance cord organizer</x:v>
      </x:c>
      <x:c r="F160" s="95" t="str">
        <x:v>best appliance cord organizer reviews; best appliance cord organizer comparison; best appliance cord organizer buying guide; best appliance cord organizer for the money; top rated appliance cord organizer</x:v>
      </x:c>
      <x:c r="G160" s="95" t="str">
        <x:v>Commercial Investigation</x:v>
      </x:c>
      <x:c r="H160" s="95" t="str">
        <x:v>BOFU</x:v>
      </x:c>
      <x:c r="I160" s="95" t="str">
        <x:v>/best-appliance-cord-organizers/</x:v>
      </x:c>
      <x:c r="J160" s="95" t="str"/>
      <x:c r="K160" s="95" t="str"/>
      <x:c r="L160" s="95" t="str"/>
      <x:c r="M160" s="95" t="str">
        <x:v>Validate top 10 results, weak domains, content format, freshness and shopping features before briefing.</x:v>
      </x:c>
      <x:c r="N160" s="95" t="str">
        <x:v>Required for model-specific reviews and roundups</x:v>
      </x:c>
      <x:c r="O160" s="101" t="str">
        <x:v>Not Started</x:v>
      </x:c>
    </x:row>
    <x:row r="161">
      <x:c r="A161" s="100" t="str">
        <x:v>AF-G08</x:v>
      </x:c>
      <x:c r="B161" s="95" t="str">
        <x:v>P3</x:v>
      </x:c>
      <x:c r="C161" s="95" t="str">
        <x:v>Air Fryers</x:v>
      </x:c>
      <x:c r="D161" s="95" t="str">
        <x:v>Informational</x:v>
      </x:c>
      <x:c r="E161" s="95" t="str">
        <x:v>how long do air fryers last</x:v>
      </x:c>
      <x:c r="F161" s="95" t="str">
        <x:v>how long do air fryers last explained; how long do air fryers last guide; how long do air fryers last FAQ; how long do air fryers last tips; how long do air fryers last common mistakes</x:v>
      </x:c>
      <x:c r="G161" s="95" t="str">
        <x:v>Informational</x:v>
      </x:c>
      <x:c r="H161" s="95" t="str">
        <x:v>TOFU/MOFU</x:v>
      </x:c>
      <x:c r="I161" s="95" t="str">
        <x:v>/how-long-do-air-fryers-last/</x:v>
      </x:c>
      <x:c r="J161" s="95" t="str">
        <x:v>AF-HUB</x:v>
      </x:c>
      <x:c r="K161" s="95" t="str"/>
      <x:c r="L161" s="95" t="str"/>
      <x:c r="M161" s="95" t="str">
        <x:v>Validate top 10 results, weak domains, content format, freshness and shopping features before briefing.</x:v>
      </x:c>
      <x:c r="N161" s="95" t="str">
        <x:v>Required for model-specific reviews and roundups</x:v>
      </x:c>
      <x:c r="O161" s="101" t="str">
        <x:v>Not Started</x:v>
      </x:c>
    </x:row>
    <x:row r="162">
      <x:c r="A162" s="100" t="str">
        <x:v>BL-G05</x:v>
      </x:c>
      <x:c r="B162" s="95" t="str">
        <x:v>P3</x:v>
      </x:c>
      <x:c r="C162" s="95" t="str">
        <x:v>Blenders</x:v>
      </x:c>
      <x:c r="D162" s="95" t="str">
        <x:v>Informational</x:v>
      </x:c>
      <x:c r="E162" s="95" t="str">
        <x:v>why does my blender smell burnt</x:v>
      </x:c>
      <x:c r="F162" s="95" t="str">
        <x:v>why does my blender smell burnt explained; why does my blender smell burnt guide; why does my blender smell burnt FAQ; why does my blender smell burnt tips; why does my blender smell burnt common mistakes</x:v>
      </x:c>
      <x:c r="G162" s="95" t="str">
        <x:v>Informational</x:v>
      </x:c>
      <x:c r="H162" s="95" t="str">
        <x:v>TOFU/MOFU</x:v>
      </x:c>
      <x:c r="I162" s="95" t="str">
        <x:v>/why-does-my-blender-smell-burnt/</x:v>
      </x:c>
      <x:c r="J162" s="95" t="str">
        <x:v>BL-HUB</x:v>
      </x:c>
      <x:c r="K162" s="95" t="str"/>
      <x:c r="L162" s="95" t="str"/>
      <x:c r="M162" s="95" t="str">
        <x:v>Validate top 10 results, weak domains, content format, freshness and shopping features before briefing.</x:v>
      </x:c>
      <x:c r="N162" s="95" t="str">
        <x:v>Required for model-specific reviews and roundups</x:v>
      </x:c>
      <x:c r="O162" s="101" t="str">
        <x:v>Not Started</x:v>
      </x:c>
    </x:row>
    <x:row r="163">
      <x:c r="A163" s="100" t="str">
        <x:v>BL-G06</x:v>
      </x:c>
      <x:c r="B163" s="95" t="str">
        <x:v>P3</x:v>
      </x:c>
      <x:c r="C163" s="95" t="str">
        <x:v>Blenders</x:v>
      </x:c>
      <x:c r="D163" s="95" t="str">
        <x:v>Informational</x:v>
      </x:c>
      <x:c r="E163" s="95" t="str">
        <x:v>why is my blender leaking</x:v>
      </x:c>
      <x:c r="F163" s="95" t="str">
        <x:v>why is my blender leaking explained; why is my blender leaking guide; why is my blender leaking FAQ; why is my blender leaking tips; why is my blender leaking common mistakes</x:v>
      </x:c>
      <x:c r="G163" s="95" t="str">
        <x:v>Informational</x:v>
      </x:c>
      <x:c r="H163" s="95" t="str">
        <x:v>TOFU/MOFU</x:v>
      </x:c>
      <x:c r="I163" s="95" t="str">
        <x:v>/why-is-my-blender-leaking/</x:v>
      </x:c>
      <x:c r="J163" s="95" t="str">
        <x:v>BL-HUB</x:v>
      </x:c>
      <x:c r="K163" s="95" t="str"/>
      <x:c r="L163" s="95" t="str"/>
      <x:c r="M163" s="95" t="str">
        <x:v>Validate top 10 results, weak domains, content format, freshness and shopping features before briefing.</x:v>
      </x:c>
      <x:c r="N163" s="95" t="str">
        <x:v>Required for model-specific reviews and roundups</x:v>
      </x:c>
      <x:c r="O163" s="101" t="str">
        <x:v>Not Started</x:v>
      </x:c>
    </x:row>
    <x:row r="164">
      <x:c r="A164" s="100" t="str">
        <x:v>BL-G09</x:v>
      </x:c>
      <x:c r="B164" s="95" t="str">
        <x:v>P3</x:v>
      </x:c>
      <x:c r="C164" s="95" t="str">
        <x:v>Blenders</x:v>
      </x:c>
      <x:c r="D164" s="95" t="str">
        <x:v>Informational</x:v>
      </x:c>
      <x:c r="E164" s="95" t="str">
        <x:v>how long do blenders last</x:v>
      </x:c>
      <x:c r="F164" s="95" t="str">
        <x:v>how long do blenders last explained; how long do blenders last guide; how long do blenders last FAQ; how long do blenders last tips; how long do blenders last common mistakes</x:v>
      </x:c>
      <x:c r="G164" s="95" t="str">
        <x:v>Informational</x:v>
      </x:c>
      <x:c r="H164" s="95" t="str">
        <x:v>TOFU/MOFU</x:v>
      </x:c>
      <x:c r="I164" s="95" t="str">
        <x:v>/how-long-do-blenders-last/</x:v>
      </x:c>
      <x:c r="J164" s="95" t="str">
        <x:v>BL-HUB</x:v>
      </x:c>
      <x:c r="K164" s="95" t="str"/>
      <x:c r="L164" s="95" t="str"/>
      <x:c r="M164" s="95" t="str">
        <x:v>Validate top 10 results, weak domains, content format, freshness and shopping features before briefing.</x:v>
      </x:c>
      <x:c r="N164" s="95" t="str">
        <x:v>Required for model-specific reviews and roundups</x:v>
      </x:c>
      <x:c r="O164" s="101" t="str">
        <x:v>Not Started</x:v>
      </x:c>
    </x:row>
    <x:row r="165">
      <x:c r="A165" s="100" t="str">
        <x:v>BL-G10</x:v>
      </x:c>
      <x:c r="B165" s="95" t="str">
        <x:v>P3</x:v>
      </x:c>
      <x:c r="C165" s="95" t="str">
        <x:v>Blenders</x:v>
      </x:c>
      <x:c r="D165" s="95" t="str">
        <x:v>Informational</x:v>
      </x:c>
      <x:c r="E165" s="95" t="str">
        <x:v>is a high powered blender worth it</x:v>
      </x:c>
      <x:c r="F165" s="95" t="str">
        <x:v>is a high powered blender worth it explained; is a high powered blender worth it guide; is a high powered blender worth it FAQ; is a high powered blender worth it tips; is a high powered blender worth it common mistakes</x:v>
      </x:c>
      <x:c r="G165" s="95" t="str">
        <x:v>Informational</x:v>
      </x:c>
      <x:c r="H165" s="95" t="str">
        <x:v>TOFU/MOFU</x:v>
      </x:c>
      <x:c r="I165" s="95" t="str">
        <x:v>/is-a-high-powered-blender-worth-it/</x:v>
      </x:c>
      <x:c r="J165" s="95" t="str">
        <x:v>BL-HUB</x:v>
      </x:c>
      <x:c r="K165" s="95" t="str"/>
      <x:c r="L165" s="95" t="str"/>
      <x:c r="M165" s="95" t="str">
        <x:v>Validate top 10 results, weak domains, content format, freshness and shopping features before briefing.</x:v>
      </x:c>
      <x:c r="N165" s="95" t="str">
        <x:v>Required for model-specific reviews and roundups</x:v>
      </x:c>
      <x:c r="O165" s="101" t="str">
        <x:v>Not Started</x:v>
      </x:c>
    </x:row>
    <x:row r="166">
      <x:c r="A166" s="100" t="str">
        <x:v>CG-G02</x:v>
      </x:c>
      <x:c r="B166" s="95" t="str">
        <x:v>P3</x:v>
      </x:c>
      <x:c r="C166" s="95" t="str">
        <x:v>Coffee Grinders</x:v>
      </x:c>
      <x:c r="D166" s="95" t="str">
        <x:v>Informational</x:v>
      </x:c>
      <x:c r="E166" s="95" t="str">
        <x:v>coffee grind size chart</x:v>
      </x:c>
      <x:c r="F166" s="95" t="str">
        <x:v>coffee grind size chart explained; coffee grind size chart guide; coffee grind size chart FAQ; coffee grind size chart tips; coffee grind size chart common mistakes</x:v>
      </x:c>
      <x:c r="G166" s="95" t="str">
        <x:v>Informational</x:v>
      </x:c>
      <x:c r="H166" s="95" t="str">
        <x:v>TOFU/MOFU</x:v>
      </x:c>
      <x:c r="I166" s="95" t="str">
        <x:v>/coffee-grind-size-chart/</x:v>
      </x:c>
      <x:c r="J166" s="95" t="str">
        <x:v>CG-HUB</x:v>
      </x:c>
      <x:c r="K166" s="95" t="str"/>
      <x:c r="L166" s="95" t="str"/>
      <x:c r="M166" s="95" t="str">
        <x:v>Validate top 10 results, weak domains, content format, freshness and shopping features before briefing.</x:v>
      </x:c>
      <x:c r="N166" s="95" t="str">
        <x:v>Required for model-specific reviews and roundups</x:v>
      </x:c>
      <x:c r="O166" s="101" t="str">
        <x:v>Not Started</x:v>
      </x:c>
    </x:row>
    <x:row r="167">
      <x:c r="A167" s="100" t="str">
        <x:v>CC-G09</x:v>
      </x:c>
      <x:c r="B167" s="95" t="str">
        <x:v>P3</x:v>
      </x:c>
      <x:c r="C167" s="95" t="str">
        <x:v>Cross-Category</x:v>
      </x:c>
      <x:c r="D167" s="95" t="str">
        <x:v>Informational</x:v>
      </x:c>
      <x:c r="E167" s="95" t="str">
        <x:v>when to replace kitchen appliances</x:v>
      </x:c>
      <x:c r="F167" s="95" t="str">
        <x:v>when to replace kitchen appliances explained; when to replace kitchen appliances guide; when to replace kitchen appliances FAQ; when to replace kitchen appliances tips; when to replace kitchen appliances common mistakes</x:v>
      </x:c>
      <x:c r="G167" s="95" t="str">
        <x:v>Informational</x:v>
      </x:c>
      <x:c r="H167" s="95" t="str">
        <x:v>TOFU/MOFU</x:v>
      </x:c>
      <x:c r="I167" s="95" t="str">
        <x:v>/when-to-replace-small-kitchen-appliances/</x:v>
      </x:c>
      <x:c r="J167" s="95" t="str"/>
      <x:c r="K167" s="95" t="str"/>
      <x:c r="L167" s="95" t="str"/>
      <x:c r="M167" s="95" t="str">
        <x:v>Validate top 10 results, weak domains, content format, freshness and shopping features before briefing.</x:v>
      </x:c>
      <x:c r="N167" s="95" t="str">
        <x:v>Required for model-specific reviews and roundups</x:v>
      </x:c>
      <x:c r="O167" s="101" t="str">
        <x:v>Not Started</x:v>
      </x:c>
    </x:row>
    <x:row r="168">
      <x:c r="A168" s="100" t="str">
        <x:v>EK-G02</x:v>
      </x:c>
      <x:c r="B168" s="95" t="str">
        <x:v>P3</x:v>
      </x:c>
      <x:c r="C168" s="95" t="str">
        <x:v>Electric Kettles</x:v>
      </x:c>
      <x:c r="D168" s="95" t="str">
        <x:v>Informational</x:v>
      </x:c>
      <x:c r="E168" s="95" t="str">
        <x:v>tea water temperature guide</x:v>
      </x:c>
      <x:c r="F168" s="95" t="str">
        <x:v>tea water temperature guide explained; tea water temperature guide guide; tea water temperature guide FAQ; tea water temperature guide tips; tea water temperature guide common mistakes</x:v>
      </x:c>
      <x:c r="G168" s="95" t="str">
        <x:v>Informational</x:v>
      </x:c>
      <x:c r="H168" s="95" t="str">
        <x:v>TOFU/MOFU</x:v>
      </x:c>
      <x:c r="I168" s="95" t="str">
        <x:v>/tea-water-temperature-guide/</x:v>
      </x:c>
      <x:c r="J168" s="95" t="str">
        <x:v>EK-HUB</x:v>
      </x:c>
      <x:c r="K168" s="95" t="str"/>
      <x:c r="L168" s="95" t="str"/>
      <x:c r="M168" s="95" t="str">
        <x:v>Validate top 10 results, weak domains, content format, freshness and shopping features before briefing.</x:v>
      </x:c>
      <x:c r="N168" s="95" t="str">
        <x:v>Required for model-specific reviews and roundups</x:v>
      </x:c>
      <x:c r="O168" s="101" t="str">
        <x:v>Not Started</x:v>
      </x:c>
    </x:row>
    <x:row r="169">
      <x:c r="A169" s="100" t="str">
        <x:v>EK-G04</x:v>
      </x:c>
      <x:c r="B169" s="95" t="str">
        <x:v>P3</x:v>
      </x:c>
      <x:c r="C169" s="95" t="str">
        <x:v>Electric Kettles</x:v>
      </x:c>
      <x:c r="D169" s="95" t="str">
        <x:v>Informational</x:v>
      </x:c>
      <x:c r="E169" s="95" t="str">
        <x:v>electric kettle wattage</x:v>
      </x:c>
      <x:c r="F169" s="95" t="str">
        <x:v>electric kettle wattage explained; electric kettle wattage guide; electric kettle wattage FAQ; electric kettle wattage tips; electric kettle wattage common mistakes</x:v>
      </x:c>
      <x:c r="G169" s="95" t="str">
        <x:v>Informational</x:v>
      </x:c>
      <x:c r="H169" s="95" t="str">
        <x:v>TOFU/MOFU</x:v>
      </x:c>
      <x:c r="I169" s="95" t="str">
        <x:v>/electric-kettle-wattage/</x:v>
      </x:c>
      <x:c r="J169" s="95" t="str">
        <x:v>EK-HUB</x:v>
      </x:c>
      <x:c r="K169" s="95" t="str"/>
      <x:c r="L169" s="95" t="str"/>
      <x:c r="M169" s="95" t="str">
        <x:v>Validate top 10 results, weak domains, content format, freshness and shopping features before briefing.</x:v>
      </x:c>
      <x:c r="N169" s="95" t="str">
        <x:v>Required for model-specific reviews and roundups</x:v>
      </x:c>
      <x:c r="O169" s="101" t="str">
        <x:v>Not Started</x:v>
      </x:c>
    </x:row>
    <x:row r="170">
      <x:c r="A170" s="100" t="str">
        <x:v>EK-G05</x:v>
      </x:c>
      <x:c r="B170" s="95" t="str">
        <x:v>P3</x:v>
      </x:c>
      <x:c r="C170" s="95" t="str">
        <x:v>Electric Kettles</x:v>
      </x:c>
      <x:c r="D170" s="95" t="str">
        <x:v>Informational</x:v>
      </x:c>
      <x:c r="E170" s="95" t="str">
        <x:v>are glass electric kettles safe</x:v>
      </x:c>
      <x:c r="F170" s="95" t="str">
        <x:v>are glass electric kettles safe explained; are glass electric kettles safe guide; are glass electric kettles safe FAQ; are glass electric kettles safe tips; are glass electric kettles safe common mistakes</x:v>
      </x:c>
      <x:c r="G170" s="95" t="str">
        <x:v>Informational</x:v>
      </x:c>
      <x:c r="H170" s="95" t="str">
        <x:v>TOFU/MOFU</x:v>
      </x:c>
      <x:c r="I170" s="95" t="str">
        <x:v>/are-glass-electric-kettles-safe/</x:v>
      </x:c>
      <x:c r="J170" s="95" t="str">
        <x:v>EK-HUB</x:v>
      </x:c>
      <x:c r="K170" s="95" t="str"/>
      <x:c r="L170" s="95" t="str"/>
      <x:c r="M170" s="95" t="str">
        <x:v>Validate top 10 results, weak domains, content format, freshness and shopping features before briefing.</x:v>
      </x:c>
      <x:c r="N170" s="95" t="str">
        <x:v>Required for model-specific reviews and roundups</x:v>
      </x:c>
      <x:c r="O170" s="101" t="str">
        <x:v>Not Started</x:v>
      </x:c>
    </x:row>
    <x:row r="171">
      <x:c r="A171" s="100" t="str">
        <x:v>EK-G06</x:v>
      </x:c>
      <x:c r="B171" s="95" t="str">
        <x:v>P3</x:v>
      </x:c>
      <x:c r="C171" s="95" t="str">
        <x:v>Electric Kettles</x:v>
      </x:c>
      <x:c r="D171" s="95" t="str">
        <x:v>Informational</x:v>
      </x:c>
      <x:c r="E171" s="95" t="str">
        <x:v>how long do electric kettles last</x:v>
      </x:c>
      <x:c r="F171" s="95" t="str">
        <x:v>how long do electric kettles last explained; how long do electric kettles last guide; how long do electric kettles last FAQ; how long do electric kettles last tips; how long do electric kettles last common mistakes</x:v>
      </x:c>
      <x:c r="G171" s="95" t="str">
        <x:v>Informational</x:v>
      </x:c>
      <x:c r="H171" s="95" t="str">
        <x:v>TOFU/MOFU</x:v>
      </x:c>
      <x:c r="I171" s="95" t="str">
        <x:v>/how-long-do-electric-kettles-last/</x:v>
      </x:c>
      <x:c r="J171" s="95" t="str">
        <x:v>EK-HUB</x:v>
      </x:c>
      <x:c r="K171" s="95" t="str"/>
      <x:c r="L171" s="95" t="str"/>
      <x:c r="M171" s="95" t="str">
        <x:v>Validate top 10 results, weak domains, content format, freshness and shopping features before briefing.</x:v>
      </x:c>
      <x:c r="N171" s="95" t="str">
        <x:v>Required for model-specific reviews and roundups</x:v>
      </x:c>
      <x:c r="O171" s="101" t="str">
        <x:v>Not Started</x:v>
      </x:c>
    </x:row>
    <x:row r="172">
      <x:c r="A172" s="100" t="str">
        <x:v>EK-G07</x:v>
      </x:c>
      <x:c r="B172" s="95" t="str">
        <x:v>P3</x:v>
      </x:c>
      <x:c r="C172" s="95" t="str">
        <x:v>Electric Kettles</x:v>
      </x:c>
      <x:c r="D172" s="95" t="str">
        <x:v>Informational</x:v>
      </x:c>
      <x:c r="E172" s="95" t="str">
        <x:v>do electric kettles turn off automatically</x:v>
      </x:c>
      <x:c r="F172" s="95" t="str">
        <x:v>do electric kettles turn off automatically explained; do electric kettles turn off automatically guide; do electric kettles turn off automatically FAQ; do electric kettles turn off automatically tips; do electric kettles turn off automatically common mistakes</x:v>
      </x:c>
      <x:c r="G172" s="95" t="str">
        <x:v>Informational</x:v>
      </x:c>
      <x:c r="H172" s="95" t="str">
        <x:v>TOFU/MOFU</x:v>
      </x:c>
      <x:c r="I172" s="95" t="str">
        <x:v>/do-electric-kettles-turn-off-automatically/</x:v>
      </x:c>
      <x:c r="J172" s="95" t="str">
        <x:v>EK-HUB</x:v>
      </x:c>
      <x:c r="K172" s="95" t="str"/>
      <x:c r="L172" s="95" t="str"/>
      <x:c r="M172" s="95" t="str">
        <x:v>Validate top 10 results, weak domains, content format, freshness and shopping features before briefing.</x:v>
      </x:c>
      <x:c r="N172" s="95" t="str">
        <x:v>Required for model-specific reviews and roundups</x:v>
      </x:c>
      <x:c r="O172" s="101" t="str">
        <x:v>Not Started</x:v>
      </x:c>
    </x:row>
    <x:row r="173">
      <x:c r="A173" s="100" t="str">
        <x:v>FP-G02</x:v>
      </x:c>
      <x:c r="B173" s="95" t="str">
        <x:v>P3</x:v>
      </x:c>
      <x:c r="C173" s="95" t="str">
        <x:v>Food Processors</x:v>
      </x:c>
      <x:c r="D173" s="95" t="str">
        <x:v>Informational</x:v>
      </x:c>
      <x:c r="E173" s="95" t="str">
        <x:v>what size food processor do i need</x:v>
      </x:c>
      <x:c r="F173" s="95" t="str">
        <x:v>what size food processor do i need explained; what size food processor do i need guide; what size food processor do i need FAQ; what size food processor do i need tips; what size food processor do i need common mistakes</x:v>
      </x:c>
      <x:c r="G173" s="95" t="str">
        <x:v>Informational</x:v>
      </x:c>
      <x:c r="H173" s="95" t="str">
        <x:v>TOFU/MOFU</x:v>
      </x:c>
      <x:c r="I173" s="95" t="str">
        <x:v>/what-size-food-processor-do-i-need/</x:v>
      </x:c>
      <x:c r="J173" s="95" t="str">
        <x:v>FP-HUB</x:v>
      </x:c>
      <x:c r="K173" s="95" t="str"/>
      <x:c r="L173" s="95" t="str"/>
      <x:c r="M173" s="95" t="str">
        <x:v>Validate top 10 results, weak domains, content format, freshness and shopping features before briefing.</x:v>
      </x:c>
      <x:c r="N173" s="95" t="str">
        <x:v>Required for model-specific reviews and roundups</x:v>
      </x:c>
      <x:c r="O173" s="101" t="str">
        <x:v>Not Started</x:v>
      </x:c>
    </x:row>
    <x:row r="174">
      <x:c r="A174" s="100" t="str">
        <x:v>FP-G05</x:v>
      </x:c>
      <x:c r="B174" s="95" t="str">
        <x:v>P3</x:v>
      </x:c>
      <x:c r="C174" s="95" t="str">
        <x:v>Food Processors</x:v>
      </x:c>
      <x:c r="D174" s="95" t="str">
        <x:v>Informational</x:v>
      </x:c>
      <x:c r="E174" s="95" t="str">
        <x:v>can a food processor knead dough</x:v>
      </x:c>
      <x:c r="F174" s="95" t="str">
        <x:v>can a food processor knead dough explained; can a food processor knead dough guide; can a food processor knead dough FAQ; can a food processor knead dough tips; can a food processor knead dough common mistakes</x:v>
      </x:c>
      <x:c r="G174" s="95" t="str">
        <x:v>Informational</x:v>
      </x:c>
      <x:c r="H174" s="95" t="str">
        <x:v>TOFU/MOFU</x:v>
      </x:c>
      <x:c r="I174" s="95" t="str">
        <x:v>/can-a-food-processor-knead-dough/</x:v>
      </x:c>
      <x:c r="J174" s="95" t="str">
        <x:v>FP-HUB</x:v>
      </x:c>
      <x:c r="K174" s="95" t="str"/>
      <x:c r="L174" s="95" t="str"/>
      <x:c r="M174" s="95" t="str">
        <x:v>Validate top 10 results, weak domains, content format, freshness and shopping features before briefing.</x:v>
      </x:c>
      <x:c r="N174" s="95" t="str">
        <x:v>Required for model-specific reviews and roundups</x:v>
      </x:c>
      <x:c r="O174" s="101" t="str">
        <x:v>Not Started</x:v>
      </x:c>
    </x:row>
    <x:row r="175">
      <x:c r="A175" s="100" t="str">
        <x:v>RC-G02</x:v>
      </x:c>
      <x:c r="B175" s="95" t="str">
        <x:v>P3</x:v>
      </x:c>
      <x:c r="C175" s="95" t="str">
        <x:v>Rice Cookers</x:v>
      </x:c>
      <x:c r="D175" s="95" t="str">
        <x:v>Informational</x:v>
      </x:c>
      <x:c r="E175" s="95" t="str">
        <x:v>what size rice cooker do i need</x:v>
      </x:c>
      <x:c r="F175" s="95" t="str">
        <x:v>what size rice cooker do i need explained; what size rice cooker do i need guide; what size rice cooker do i need FAQ; what size rice cooker do i need tips; what size rice cooker do i need common mistakes</x:v>
      </x:c>
      <x:c r="G175" s="95" t="str">
        <x:v>Informational</x:v>
      </x:c>
      <x:c r="H175" s="95" t="str">
        <x:v>TOFU/MOFU</x:v>
      </x:c>
      <x:c r="I175" s="95" t="str">
        <x:v>/what-size-rice-cooker-do-i-need/</x:v>
      </x:c>
      <x:c r="J175" s="95" t="str">
        <x:v>RC-HUB</x:v>
      </x:c>
      <x:c r="K175" s="95" t="str"/>
      <x:c r="L175" s="95" t="str"/>
      <x:c r="M175" s="95" t="str">
        <x:v>Validate top 10 results, weak domains, content format, freshness and shopping features before briefing.</x:v>
      </x:c>
      <x:c r="N175" s="95" t="str">
        <x:v>Required for model-specific reviews and roundups</x:v>
      </x:c>
      <x:c r="O175" s="101" t="str">
        <x:v>Not Started</x:v>
      </x:c>
    </x:row>
    <x:row r="176">
      <x:c r="A176" s="100" t="str">
        <x:v>TO-G02</x:v>
      </x:c>
      <x:c r="B176" s="95" t="str">
        <x:v>P3</x:v>
      </x:c>
      <x:c r="C176" s="95" t="str">
        <x:v>Toaster Ovens</x:v>
      </x:c>
      <x:c r="D176" s="95" t="str">
        <x:v>Informational</x:v>
      </x:c>
      <x:c r="E176" s="95" t="str">
        <x:v>what size toaster oven do i need</x:v>
      </x:c>
      <x:c r="F176" s="95" t="str">
        <x:v>what size toaster oven do i need explained; what size toaster oven do i need guide; what size toaster oven do i need FAQ; what size toaster oven do i need tips; what size toaster oven do i need common mistakes</x:v>
      </x:c>
      <x:c r="G176" s="95" t="str">
        <x:v>Informational</x:v>
      </x:c>
      <x:c r="H176" s="95" t="str">
        <x:v>TOFU/MOFU</x:v>
      </x:c>
      <x:c r="I176" s="95" t="str">
        <x:v>/what-size-toaster-oven-do-i-need/</x:v>
      </x:c>
      <x:c r="J176" s="95" t="str">
        <x:v>TO-HUB</x:v>
      </x:c>
      <x:c r="K176" s="95" t="str"/>
      <x:c r="L176" s="95" t="str"/>
      <x:c r="M176" s="95" t="str">
        <x:v>Validate top 10 results, weak domains, content format, freshness and shopping features before briefing.</x:v>
      </x:c>
      <x:c r="N176" s="95" t="str">
        <x:v>Required for model-specific reviews and roundups</x:v>
      </x:c>
      <x:c r="O176" s="101" t="str">
        <x:v>Not Started</x:v>
      </x:c>
    </x:row>
    <x:row r="177">
      <x:c r="A177" s="100" t="str">
        <x:v>TO-G04</x:v>
      </x:c>
      <x:c r="B177" s="95" t="str">
        <x:v>P3</x:v>
      </x:c>
      <x:c r="C177" s="95" t="str">
        <x:v>Toaster Ovens</x:v>
      </x:c>
      <x:c r="D177" s="95" t="str">
        <x:v>Informational</x:v>
      </x:c>
      <x:c r="E177" s="95" t="str">
        <x:v>can you bake in a toaster oven</x:v>
      </x:c>
      <x:c r="F177" s="95" t="str">
        <x:v>can you bake in a toaster oven explained; can you bake in a toaster oven guide; can you bake in a toaster oven FAQ; can you bake in a toaster oven tips; can you bake in a toaster oven common mistakes</x:v>
      </x:c>
      <x:c r="G177" s="95" t="str">
        <x:v>Informational</x:v>
      </x:c>
      <x:c r="H177" s="95" t="str">
        <x:v>TOFU/MOFU</x:v>
      </x:c>
      <x:c r="I177" s="95" t="str">
        <x:v>/can-you-bake-in-a-toaster-oven/</x:v>
      </x:c>
      <x:c r="J177" s="95" t="str">
        <x:v>TO-HUB</x:v>
      </x:c>
      <x:c r="K177" s="95" t="str"/>
      <x:c r="L177" s="95" t="str"/>
      <x:c r="M177" s="95" t="str">
        <x:v>Validate top 10 results, weak domains, content format, freshness and shopping features before briefing.</x:v>
      </x:c>
      <x:c r="N177" s="95" t="str">
        <x:v>Required for model-specific reviews and roundups</x:v>
      </x:c>
      <x:c r="O177" s="101" t="str">
        <x:v>Not Started</x:v>
      </x:c>
    </x:row>
    <x:row r="178">
      <x:c r="A178" s="100" t="str">
        <x:v>TO-G05</x:v>
      </x:c>
      <x:c r="B178" s="95" t="str">
        <x:v>P3</x:v>
      </x:c>
      <x:c r="C178" s="95" t="str">
        <x:v>Toaster Ovens</x:v>
      </x:c>
      <x:c r="D178" s="95" t="str">
        <x:v>Informational</x:v>
      </x:c>
      <x:c r="E178" s="95" t="str">
        <x:v>toaster oven power consumption</x:v>
      </x:c>
      <x:c r="F178" s="95" t="str">
        <x:v>toaster oven power consumption explained; toaster oven power consumption guide; toaster oven power consumption FAQ; toaster oven power consumption tips; toaster oven power consumption common mistakes</x:v>
      </x:c>
      <x:c r="G178" s="95" t="str">
        <x:v>Informational</x:v>
      </x:c>
      <x:c r="H178" s="95" t="str">
        <x:v>TOFU/MOFU</x:v>
      </x:c>
      <x:c r="I178" s="95" t="str">
        <x:v>/toaster-oven-power-consumption/</x:v>
      </x:c>
      <x:c r="J178" s="95" t="str">
        <x:v>TO-HUB</x:v>
      </x:c>
      <x:c r="K178" s="95" t="str"/>
      <x:c r="L178" s="95" t="str"/>
      <x:c r="M178" s="95" t="str">
        <x:v>Validate top 10 results, weak domains, content format, freshness and shopping features before briefing.</x:v>
      </x:c>
      <x:c r="N178" s="95" t="str">
        <x:v>Required for model-specific reviews and roundups</x:v>
      </x:c>
      <x:c r="O178" s="101" t="str">
        <x:v>Not Started</x:v>
      </x:c>
    </x:row>
    <x:row r="179">
      <x:c r="A179" s="100" t="str">
        <x:v>CC-G08</x:v>
      </x:c>
      <x:c r="B179" s="95" t="str">
        <x:v>P3</x:v>
      </x:c>
      <x:c r="C179" s="95" t="str">
        <x:v>Cross-Category</x:v>
      </x:c>
      <x:c r="D179" s="95" t="str">
        <x:v>How-To</x:v>
      </x:c>
      <x:c r="E179" s="95" t="str">
        <x:v>how to clean grease from kitchen appliances</x:v>
      </x:c>
      <x:c r="F179" s="95" t="str">
        <x:v>how to clean grease from kitchen appliances explained; how to clean grease from kitchen appliances guide; how to clean grease from kitchen appliances FAQ; how to clean grease from kitchen appliances tips; how to clean grease from kitchen appliances common mistakes</x:v>
      </x:c>
      <x:c r="G179" s="95" t="str">
        <x:v>Informational</x:v>
      </x:c>
      <x:c r="H179" s="95" t="str">
        <x:v>TOFU/MOFU</x:v>
      </x:c>
      <x:c r="I179" s="95" t="str">
        <x:v>/clean-grease-countertop-appliances/</x:v>
      </x:c>
      <x:c r="J179" s="95" t="str"/>
      <x:c r="K179" s="95" t="str"/>
      <x:c r="L179" s="95" t="str"/>
      <x:c r="M179" s="95" t="str">
        <x:v>Validate top 10 results, weak domains, content format, freshness and shopping features before briefing.</x:v>
      </x:c>
      <x:c r="N179" s="95" t="str">
        <x:v>Required for model-specific reviews and roundups</x:v>
      </x:c>
      <x:c r="O179" s="101" t="str">
        <x:v>Not Started</x:v>
      </x:c>
    </x:row>
    <x:row r="180">
      <x:c r="A180" s="100" t="str">
        <x:v>FP-G03</x:v>
      </x:c>
      <x:c r="B180" s="95" t="str">
        <x:v>P3</x:v>
      </x:c>
      <x:c r="C180" s="95" t="str">
        <x:v>Food Processors</x:v>
      </x:c>
      <x:c r="D180" s="95" t="str">
        <x:v>How-To</x:v>
      </x:c>
      <x:c r="E180" s="95" t="str">
        <x:v>how to use a food processor</x:v>
      </x:c>
      <x:c r="F180" s="95" t="str">
        <x:v>how to use a food processor explained; how to use a food processor guide; how to use a food processor FAQ; how to use a food processor tips; how to use a food processor common mistakes</x:v>
      </x:c>
      <x:c r="G180" s="95" t="str">
        <x:v>Informational</x:v>
      </x:c>
      <x:c r="H180" s="95" t="str">
        <x:v>TOFU/MOFU</x:v>
      </x:c>
      <x:c r="I180" s="95" t="str">
        <x:v>/how-to-use-a-food-processor/</x:v>
      </x:c>
      <x:c r="J180" s="95" t="str">
        <x:v>FP-HUB</x:v>
      </x:c>
      <x:c r="K180" s="95" t="str"/>
      <x:c r="L180" s="95" t="str"/>
      <x:c r="M180" s="95" t="str">
        <x:v>Validate top 10 results, weak domains, content format, freshness and shopping features before briefing.</x:v>
      </x:c>
      <x:c r="N180" s="95" t="str">
        <x:v>Required for model-specific reviews and roundups</x:v>
      </x:c>
      <x:c r="O180" s="101" t="str">
        <x:v>Not Started</x:v>
      </x:c>
    </x:row>
    <x:row r="181">
      <x:c r="A181" s="100" t="str">
        <x:v>TO-G03</x:v>
      </x:c>
      <x:c r="B181" s="95" t="str">
        <x:v>P3</x:v>
      </x:c>
      <x:c r="C181" s="95" t="str">
        <x:v>Toaster Ovens</x:v>
      </x:c>
      <x:c r="D181" s="95" t="str">
        <x:v>How-To</x:v>
      </x:c>
      <x:c r="E181" s="95" t="str">
        <x:v>how to clean a toaster oven</x:v>
      </x:c>
      <x:c r="F181" s="95" t="str">
        <x:v>how to clean a toaster oven explained; how to clean a toaster oven guide; how to clean a toaster oven FAQ; how to clean a toaster oven tips; how to clean a toaster oven common mistakes</x:v>
      </x:c>
      <x:c r="G181" s="95" t="str">
        <x:v>Informational</x:v>
      </x:c>
      <x:c r="H181" s="95" t="str">
        <x:v>TOFU/MOFU</x:v>
      </x:c>
      <x:c r="I181" s="95" t="str">
        <x:v>/how-to-clean-a-toaster-oven/</x:v>
      </x:c>
      <x:c r="J181" s="95" t="str">
        <x:v>TO-HUB</x:v>
      </x:c>
      <x:c r="K181" s="95" t="str"/>
      <x:c r="L181" s="95" t="str"/>
      <x:c r="M181" s="95" t="str">
        <x:v>Validate top 10 results, weak domains, content format, freshness and shopping features before briefing.</x:v>
      </x:c>
      <x:c r="N181" s="95" t="str">
        <x:v>Required for model-specific reviews and roundups</x:v>
      </x:c>
      <x:c r="O181" s="101" t="str">
        <x:v>Not Started</x:v>
      </x:c>
    </x:row>
    <x:row r="182">
      <x:c r="A182" s="100" t="str">
        <x:v>WM-HUB</x:v>
      </x:c>
      <x:c r="B182" s="95" t="str">
        <x:v>P4</x:v>
      </x:c>
      <x:c r="C182" s="95" t="str">
        <x:v>Waffle Makers</x:v>
      </x:c>
      <x:c r="D182" s="95" t="str">
        <x:v>Category Hub</x:v>
      </x:c>
      <x:c r="E182" s="95" t="str">
        <x:v>waffle maker reviews and buying guides</x:v>
      </x:c>
      <x:c r="F182" s="95" t="str">
        <x:v>waffle maker reviews and buying guides explained; waffle maker reviews and buying guides guide; waffle maker reviews and buying guides FAQ; waffle maker reviews and buying guides tips; waffle maker reviews and buying guides common mistakes</x:v>
      </x:c>
      <x:c r="G182" s="95" t="str">
        <x:v>Mixed</x:v>
      </x:c>
      <x:c r="H182" s="95" t="str">
        <x:v>MOFU</x:v>
      </x:c>
      <x:c r="I182" s="95" t="str">
        <x:v>/waffle-makers/</x:v>
      </x:c>
      <x:c r="J182" s="95" t="str"/>
      <x:c r="K182" s="95" t="str"/>
      <x:c r="L182" s="95" t="str"/>
      <x:c r="M182" s="95" t="str">
        <x:v>Validate top 10 results, weak domains, content format, freshness and shopping features before briefing.</x:v>
      </x:c>
      <x:c r="N182" s="95" t="str">
        <x:v>Required for model-specific reviews and roundups</x:v>
      </x:c>
      <x:c r="O182" s="101" t="str">
        <x:v>Not Started</x:v>
      </x:c>
    </x:row>
    <x:row r="183">
      <x:c r="A183" s="100" t="str">
        <x:v>WM-PIL</x:v>
      </x:c>
      <x:c r="B183" s="95" t="str">
        <x:v>P4</x:v>
      </x:c>
      <x:c r="C183" s="95" t="str">
        <x:v>Waffle Makers</x:v>
      </x:c>
      <x:c r="D183" s="95" t="str">
        <x:v>Commercial Pillar</x:v>
      </x:c>
      <x:c r="E183" s="95" t="str">
        <x:v>best waffle makers</x:v>
      </x:c>
      <x:c r="F183" s="95" t="str">
        <x:v>best waffle makers reviews; best waffle makers comparison; best waffle makers buying guide; best waffle makers for the money; top rated waffle makers</x:v>
      </x:c>
      <x:c r="G183" s="95" t="str">
        <x:v>Commercial Investigation</x:v>
      </x:c>
      <x:c r="H183" s="95" t="str">
        <x:v>BOFU</x:v>
      </x:c>
      <x:c r="I183" s="95" t="str">
        <x:v>/best-waffle-makers/</x:v>
      </x:c>
      <x:c r="J183" s="95" t="str">
        <x:v>WM-HUB</x:v>
      </x:c>
      <x:c r="K183" s="95" t="str"/>
      <x:c r="L183" s="95" t="str"/>
      <x:c r="M183" s="95" t="str">
        <x:v>Validate top 10 results, weak domains, content format, freshness and shopping features before briefing.</x:v>
      </x:c>
      <x:c r="N183" s="95" t="str">
        <x:v>Required for model-specific reviews and roundups</x:v>
      </x:c>
      <x:c r="O183" s="101" t="str">
        <x:v>Not Started</x:v>
      </x:c>
    </x:row>
    <x:row r="184">
      <x:c r="A184" s="100" t="str">
        <x:v>CG-R04</x:v>
      </x:c>
      <x:c r="B184" s="95" t="str">
        <x:v>P4</x:v>
      </x:c>
      <x:c r="C184" s="95" t="str">
        <x:v>Coffee Grinders</x:v>
      </x:c>
      <x:c r="D184" s="95" t="str">
        <x:v>Roundup</x:v>
      </x:c>
      <x:c r="E184" s="95" t="str">
        <x:v>best coffee grinder for pour over</x:v>
      </x:c>
      <x:c r="F184" s="95" t="str">
        <x:v>best coffee grinder for pour over reviews; best coffee grinder for pour over comparison; best coffee grinder for pour over buying guide; best coffee grinder for pour over for the money; top rated coffee grinder for pour over</x:v>
      </x:c>
      <x:c r="G184" s="95" t="str">
        <x:v>Commercial Investigation</x:v>
      </x:c>
      <x:c r="H184" s="95" t="str">
        <x:v>BOFU</x:v>
      </x:c>
      <x:c r="I184" s="95" t="str">
        <x:v>/best-coffee-grinder-for-pour-over/</x:v>
      </x:c>
      <x:c r="J184" s="95" t="str">
        <x:v>CG-PIL</x:v>
      </x:c>
      <x:c r="K184" s="95" t="str"/>
      <x:c r="L184" s="95" t="str"/>
      <x:c r="M184" s="95" t="str">
        <x:v>Validate top 10 results, weak domains, content format, freshness and shopping features before briefing.</x:v>
      </x:c>
      <x:c r="N184" s="95" t="str">
        <x:v>Required for model-specific reviews and roundups</x:v>
      </x:c>
      <x:c r="O184" s="101" t="str">
        <x:v>Not Started</x:v>
      </x:c>
    </x:row>
    <x:row r="185">
      <x:c r="A185" s="100" t="str">
        <x:v>CG-R05</x:v>
      </x:c>
      <x:c r="B185" s="95" t="str">
        <x:v>P4</x:v>
      </x:c>
      <x:c r="C185" s="95" t="str">
        <x:v>Coffee Grinders</x:v>
      </x:c>
      <x:c r="D185" s="95" t="str">
        <x:v>Roundup</x:v>
      </x:c>
      <x:c r="E185" s="95" t="str">
        <x:v>best coffee grinder for french press</x:v>
      </x:c>
      <x:c r="F185" s="95" t="str">
        <x:v>best coffee grinder for french press reviews; best coffee grinder for french press comparison; best coffee grinder for french press buying guide; best coffee grinder for french press for the money; top rated coffee grinder for french press</x:v>
      </x:c>
      <x:c r="G185" s="95" t="str">
        <x:v>Commercial Investigation</x:v>
      </x:c>
      <x:c r="H185" s="95" t="str">
        <x:v>BOFU</x:v>
      </x:c>
      <x:c r="I185" s="95" t="str">
        <x:v>/best-coffee-grinder-for-french-press/</x:v>
      </x:c>
      <x:c r="J185" s="95" t="str">
        <x:v>CG-PIL</x:v>
      </x:c>
      <x:c r="K185" s="95" t="str"/>
      <x:c r="L185" s="95" t="str"/>
      <x:c r="M185" s="95" t="str">
        <x:v>Validate top 10 results, weak domains, content format, freshness and shopping features before briefing.</x:v>
      </x:c>
      <x:c r="N185" s="95" t="str">
        <x:v>Required for model-specific reviews and roundups</x:v>
      </x:c>
      <x:c r="O185" s="101" t="str">
        <x:v>Not Started</x:v>
      </x:c>
    </x:row>
    <x:row r="186">
      <x:c r="A186" s="100" t="str">
        <x:v>CG-R06</x:v>
      </x:c>
      <x:c r="B186" s="95" t="str">
        <x:v>P4</x:v>
      </x:c>
      <x:c r="C186" s="95" t="str">
        <x:v>Coffee Grinders</x:v>
      </x:c>
      <x:c r="D186" s="95" t="str">
        <x:v>Roundup</x:v>
      </x:c>
      <x:c r="E186" s="95" t="str">
        <x:v>quietest coffee grinder</x:v>
      </x:c>
      <x:c r="F186" s="95" t="str">
        <x:v>quietest coffee grinder reviews; quietest coffee grinder comparison; quietest coffee grinder buying guide; quietest coffee grinder for the money; top rated quietest coffee grinder</x:v>
      </x:c>
      <x:c r="G186" s="95" t="str">
        <x:v>Commercial Investigation</x:v>
      </x:c>
      <x:c r="H186" s="95" t="str">
        <x:v>BOFU</x:v>
      </x:c>
      <x:c r="I186" s="95" t="str">
        <x:v>/quietest-coffee-grinder/</x:v>
      </x:c>
      <x:c r="J186" s="95" t="str">
        <x:v>CG-PIL</x:v>
      </x:c>
      <x:c r="K186" s="95" t="str"/>
      <x:c r="L186" s="95" t="str"/>
      <x:c r="M186" s="95" t="str">
        <x:v>Validate top 10 results, weak domains, content format, freshness and shopping features before briefing.</x:v>
      </x:c>
      <x:c r="N186" s="95" t="str">
        <x:v>Required for model-specific reviews and roundups</x:v>
      </x:c>
      <x:c r="O186" s="101" t="str">
        <x:v>Not Started</x:v>
      </x:c>
    </x:row>
    <x:row r="187">
      <x:c r="A187" s="100" t="str">
        <x:v>CG-R07</x:v>
      </x:c>
      <x:c r="B187" s="95" t="str">
        <x:v>P4</x:v>
      </x:c>
      <x:c r="C187" s="95" t="str">
        <x:v>Coffee Grinders</x:v>
      </x:c>
      <x:c r="D187" s="95" t="str">
        <x:v>Roundup</x:v>
      </x:c>
      <x:c r="E187" s="95" t="str">
        <x:v>best compact coffee grinder</x:v>
      </x:c>
      <x:c r="F187" s="95" t="str">
        <x:v>best compact coffee grinder reviews; best compact coffee grinder comparison; best compact coffee grinder buying guide; best compact coffee grinder for the money; top rated compact coffee grinder</x:v>
      </x:c>
      <x:c r="G187" s="95" t="str">
        <x:v>Commercial Investigation</x:v>
      </x:c>
      <x:c r="H187" s="95" t="str">
        <x:v>BOFU</x:v>
      </x:c>
      <x:c r="I187" s="95" t="str">
        <x:v>/best-compact-coffee-grinder/</x:v>
      </x:c>
      <x:c r="J187" s="95" t="str">
        <x:v>CG-PIL</x:v>
      </x:c>
      <x:c r="K187" s="95" t="str"/>
      <x:c r="L187" s="95" t="str"/>
      <x:c r="M187" s="95" t="str">
        <x:v>Validate top 10 results, weak domains, content format, freshness and shopping features before briefing.</x:v>
      </x:c>
      <x:c r="N187" s="95" t="str">
        <x:v>Required for model-specific reviews and roundups</x:v>
      </x:c>
      <x:c r="O187" s="101" t="str">
        <x:v>Not Started</x:v>
      </x:c>
    </x:row>
    <x:row r="188">
      <x:c r="A188" s="100" t="str">
        <x:v>FP-R07</x:v>
      </x:c>
      <x:c r="B188" s="95" t="str">
        <x:v>P4</x:v>
      </x:c>
      <x:c r="C188" s="95" t="str">
        <x:v>Food Processors</x:v>
      </x:c>
      <x:c r="D188" s="95" t="str">
        <x:v>Roundup</x:v>
      </x:c>
      <x:c r="E188" s="95" t="str">
        <x:v>best food processor for large family</x:v>
      </x:c>
      <x:c r="F188" s="95" t="str">
        <x:v>best food processor for large family reviews; best food processor for large family comparison; best food processor for large family buying guide; best food processor for large family for the money; top rated food processor for large family</x:v>
      </x:c>
      <x:c r="G188" s="95" t="str">
        <x:v>Commercial Investigation</x:v>
      </x:c>
      <x:c r="H188" s="95" t="str">
        <x:v>BOFU</x:v>
      </x:c>
      <x:c r="I188" s="95" t="str">
        <x:v>/best-food-processor-for-large-family/</x:v>
      </x:c>
      <x:c r="J188" s="95" t="str">
        <x:v>FP-PIL</x:v>
      </x:c>
      <x:c r="K188" s="95" t="str"/>
      <x:c r="L188" s="95" t="str"/>
      <x:c r="M188" s="95" t="str">
        <x:v>Validate top 10 results, weak domains, content format, freshness and shopping features before briefing.</x:v>
      </x:c>
      <x:c r="N188" s="95" t="str">
        <x:v>Required for model-specific reviews and roundups</x:v>
      </x:c>
      <x:c r="O188" s="101" t="str">
        <x:v>Not Started</x:v>
      </x:c>
    </x:row>
    <x:row r="189">
      <x:c r="A189" s="100" t="str">
        <x:v>FP-R08</x:v>
      </x:c>
      <x:c r="B189" s="95" t="str">
        <x:v>P4</x:v>
      </x:c>
      <x:c r="C189" s="95" t="str">
        <x:v>Food Processors</x:v>
      </x:c>
      <x:c r="D189" s="95" t="str">
        <x:v>Roundup</x:v>
      </x:c>
      <x:c r="E189" s="95" t="str">
        <x:v>best easy to clean food processor</x:v>
      </x:c>
      <x:c r="F189" s="95" t="str">
        <x:v>best easy to clean food processor reviews; best easy to clean food processor comparison; best easy to clean food processor buying guide; best easy to clean food processor for the money; top rated easy to clean food processor</x:v>
      </x:c>
      <x:c r="G189" s="95" t="str">
        <x:v>Commercial Investigation</x:v>
      </x:c>
      <x:c r="H189" s="95" t="str">
        <x:v>BOFU</x:v>
      </x:c>
      <x:c r="I189" s="95" t="str">
        <x:v>/best-easy-to-clean-food-processor/</x:v>
      </x:c>
      <x:c r="J189" s="95" t="str">
        <x:v>FP-PIL</x:v>
      </x:c>
      <x:c r="K189" s="95" t="str"/>
      <x:c r="L189" s="95" t="str"/>
      <x:c r="M189" s="95" t="str">
        <x:v>Validate top 10 results, weak domains, content format, freshness and shopping features before briefing.</x:v>
      </x:c>
      <x:c r="N189" s="95" t="str">
        <x:v>Required for model-specific reviews and roundups</x:v>
      </x:c>
      <x:c r="O189" s="101" t="str">
        <x:v>Not Started</x:v>
      </x:c>
    </x:row>
    <x:row r="190">
      <x:c r="A190" s="100" t="str">
        <x:v>MC-R04</x:v>
      </x:c>
      <x:c r="B190" s="95" t="str">
        <x:v>P4</x:v>
      </x:c>
      <x:c r="C190" s="95" t="str">
        <x:v>Mini Choppers</x:v>
      </x:c>
      <x:c r="D190" s="95" t="str">
        <x:v>Roundup</x:v>
      </x:c>
      <x:c r="E190" s="95" t="str">
        <x:v>best mini chopper for garlic</x:v>
      </x:c>
      <x:c r="F190" s="95" t="str">
        <x:v>best mini chopper for garlic reviews; best mini chopper for garlic comparison; best mini chopper for garlic buying guide; best mini chopper for garlic for the money; top rated mini chopper for garlic</x:v>
      </x:c>
      <x:c r="G190" s="95" t="str">
        <x:v>Commercial Investigation</x:v>
      </x:c>
      <x:c r="H190" s="95" t="str">
        <x:v>BOFU</x:v>
      </x:c>
      <x:c r="I190" s="95" t="str">
        <x:v>/best-mini-chopper-for-garlic/</x:v>
      </x:c>
      <x:c r="J190" s="95" t="str">
        <x:v>MC-PIL</x:v>
      </x:c>
      <x:c r="K190" s="95" t="str"/>
      <x:c r="L190" s="95" t="str"/>
      <x:c r="M190" s="95" t="str">
        <x:v>Validate top 10 results, weak domains, content format, freshness and shopping features before briefing.</x:v>
      </x:c>
      <x:c r="N190" s="95" t="str">
        <x:v>Required for model-specific reviews and roundups</x:v>
      </x:c>
      <x:c r="O190" s="101" t="str">
        <x:v>Not Started</x:v>
      </x:c>
    </x:row>
    <x:row r="191">
      <x:c r="A191" s="100" t="str">
        <x:v>MC-R05</x:v>
      </x:c>
      <x:c r="B191" s="95" t="str">
        <x:v>P4</x:v>
      </x:c>
      <x:c r="C191" s="95" t="str">
        <x:v>Mini Choppers</x:v>
      </x:c>
      <x:c r="D191" s="95" t="str">
        <x:v>Roundup</x:v>
      </x:c>
      <x:c r="E191" s="95" t="str">
        <x:v>best cordless mini chopper</x:v>
      </x:c>
      <x:c r="F191" s="95" t="str">
        <x:v>best cordless mini chopper reviews; best cordless mini chopper comparison; best cordless mini chopper buying guide; best cordless mini chopper for the money; top rated cordless mini chopper</x:v>
      </x:c>
      <x:c r="G191" s="95" t="str">
        <x:v>Commercial Investigation</x:v>
      </x:c>
      <x:c r="H191" s="95" t="str">
        <x:v>BOFU</x:v>
      </x:c>
      <x:c r="I191" s="95" t="str">
        <x:v>/best-cordless-mini-chopper/</x:v>
      </x:c>
      <x:c r="J191" s="95" t="str">
        <x:v>MC-PIL</x:v>
      </x:c>
      <x:c r="K191" s="95" t="str"/>
      <x:c r="L191" s="95" t="str"/>
      <x:c r="M191" s="95" t="str">
        <x:v>Validate top 10 results, weak domains, content format, freshness and shopping features before briefing.</x:v>
      </x:c>
      <x:c r="N191" s="95" t="str">
        <x:v>Required for model-specific reviews and roundups</x:v>
      </x:c>
      <x:c r="O191" s="101" t="str">
        <x:v>Not Started</x:v>
      </x:c>
    </x:row>
    <x:row r="192">
      <x:c r="A192" s="100" t="str">
        <x:v>RC-R04</x:v>
      </x:c>
      <x:c r="B192" s="95" t="str">
        <x:v>P4</x:v>
      </x:c>
      <x:c r="C192" s="95" t="str">
        <x:v>Rice Cookers</x:v>
      </x:c>
      <x:c r="D192" s="95" t="str">
        <x:v>Roundup</x:v>
      </x:c>
      <x:c r="E192" s="95" t="str">
        <x:v>best rice cooker for sticky rice</x:v>
      </x:c>
      <x:c r="F192" s="95" t="str">
        <x:v>best rice cooker for sticky rice reviews; best rice cooker for sticky rice comparison; best rice cooker for sticky rice buying guide; best rice cooker for sticky rice for the money; top rated rice cooker for sticky rice</x:v>
      </x:c>
      <x:c r="G192" s="95" t="str">
        <x:v>Commercial Investigation</x:v>
      </x:c>
      <x:c r="H192" s="95" t="str">
        <x:v>BOFU</x:v>
      </x:c>
      <x:c r="I192" s="95" t="str">
        <x:v>/best-rice-cooker-for-sticky-rice/</x:v>
      </x:c>
      <x:c r="J192" s="95" t="str">
        <x:v>RC-PIL</x:v>
      </x:c>
      <x:c r="K192" s="95" t="str"/>
      <x:c r="L192" s="95" t="str"/>
      <x:c r="M192" s="95" t="str">
        <x:v>Validate top 10 results, weak domains, content format, freshness and shopping features before briefing.</x:v>
      </x:c>
      <x:c r="N192" s="95" t="str">
        <x:v>Required for model-specific reviews and roundups</x:v>
      </x:c>
      <x:c r="O192" s="101" t="str">
        <x:v>Not Started</x:v>
      </x:c>
    </x:row>
    <x:row r="193">
      <x:c r="A193" s="100" t="str">
        <x:v>RC-R05</x:v>
      </x:c>
      <x:c r="B193" s="95" t="str">
        <x:v>P4</x:v>
      </x:c>
      <x:c r="C193" s="95" t="str">
        <x:v>Rice Cookers</x:v>
      </x:c>
      <x:c r="D193" s="95" t="str">
        <x:v>Roundup</x:v>
      </x:c>
      <x:c r="E193" s="95" t="str">
        <x:v>best rice cooker for large family</x:v>
      </x:c>
      <x:c r="F193" s="95" t="str">
        <x:v>best rice cooker for large family reviews; best rice cooker for large family comparison; best rice cooker for large family buying guide; best rice cooker for large family for the money; top rated rice cooker for large family</x:v>
      </x:c>
      <x:c r="G193" s="95" t="str">
        <x:v>Commercial Investigation</x:v>
      </x:c>
      <x:c r="H193" s="95" t="str">
        <x:v>BOFU</x:v>
      </x:c>
      <x:c r="I193" s="95" t="str">
        <x:v>/best-rice-cooker-for-large-family/</x:v>
      </x:c>
      <x:c r="J193" s="95" t="str">
        <x:v>RC-PIL</x:v>
      </x:c>
      <x:c r="K193" s="95" t="str"/>
      <x:c r="L193" s="95" t="str"/>
      <x:c r="M193" s="95" t="str">
        <x:v>Validate top 10 results, weak domains, content format, freshness and shopping features before briefing.</x:v>
      </x:c>
      <x:c r="N193" s="95" t="str">
        <x:v>Required for model-specific reviews and roundups</x:v>
      </x:c>
      <x:c r="O193" s="101" t="str">
        <x:v>Not Started</x:v>
      </x:c>
    </x:row>
    <x:row r="194">
      <x:c r="A194" s="100" t="str">
        <x:v>RC-R06</x:v>
      </x:c>
      <x:c r="B194" s="95" t="str">
        <x:v>P4</x:v>
      </x:c>
      <x:c r="C194" s="95" t="str">
        <x:v>Rice Cookers</x:v>
      </x:c>
      <x:c r="D194" s="95" t="str">
        <x:v>Roundup</x:v>
      </x:c>
      <x:c r="E194" s="95" t="str">
        <x:v>best japanese rice cooker</x:v>
      </x:c>
      <x:c r="F194" s="95" t="str">
        <x:v>best japanese rice cooker reviews; best japanese rice cooker comparison; best japanese rice cooker buying guide; best japanese rice cooker for the money; top rated japanese rice cooker</x:v>
      </x:c>
      <x:c r="G194" s="95" t="str">
        <x:v>Commercial Investigation</x:v>
      </x:c>
      <x:c r="H194" s="95" t="str">
        <x:v>BOFU</x:v>
      </x:c>
      <x:c r="I194" s="95" t="str">
        <x:v>/best-japanese-rice-cooker/</x:v>
      </x:c>
      <x:c r="J194" s="95" t="str">
        <x:v>RC-PIL</x:v>
      </x:c>
      <x:c r="K194" s="95" t="str"/>
      <x:c r="L194" s="95" t="str"/>
      <x:c r="M194" s="95" t="str">
        <x:v>Validate top 10 results, weak domains, content format, freshness and shopping features before briefing.</x:v>
      </x:c>
      <x:c r="N194" s="95" t="str">
        <x:v>Required for model-specific reviews and roundups</x:v>
      </x:c>
      <x:c r="O194" s="101" t="str">
        <x:v>Not Started</x:v>
      </x:c>
    </x:row>
    <x:row r="195">
      <x:c r="A195" s="100" t="str">
        <x:v>WM-R01</x:v>
      </x:c>
      <x:c r="B195" s="95" t="str">
        <x:v>P4</x:v>
      </x:c>
      <x:c r="C195" s="95" t="str">
        <x:v>Waffle Makers</x:v>
      </x:c>
      <x:c r="D195" s="95" t="str">
        <x:v>Roundup</x:v>
      </x:c>
      <x:c r="E195" s="95" t="str">
        <x:v>best waffle maker under $50</x:v>
      </x:c>
      <x:c r="F195" s="95" t="str">
        <x:v>best waffle maker under $50 reviews; best waffle maker under $50 comparison; best waffle maker under $50 buying guide; best waffle maker under $50 for the money; top rated waffle maker under $50</x:v>
      </x:c>
      <x:c r="G195" s="95" t="str">
        <x:v>Commercial Investigation</x:v>
      </x:c>
      <x:c r="H195" s="95" t="str">
        <x:v>BOFU</x:v>
      </x:c>
      <x:c r="I195" s="95" t="str">
        <x:v>/best-waffle-maker-under-50/</x:v>
      </x:c>
      <x:c r="J195" s="95" t="str">
        <x:v>WM-PIL</x:v>
      </x:c>
      <x:c r="K195" s="95" t="str"/>
      <x:c r="L195" s="95" t="str"/>
      <x:c r="M195" s="95" t="str">
        <x:v>Validate top 10 results, weak domains, content format, freshness and shopping features before briefing.</x:v>
      </x:c>
      <x:c r="N195" s="95" t="str">
        <x:v>Required for model-specific reviews and roundups</x:v>
      </x:c>
      <x:c r="O195" s="101" t="str">
        <x:v>Not Started</x:v>
      </x:c>
    </x:row>
    <x:row r="196">
      <x:c r="A196" s="100" t="str">
        <x:v>WM-R02</x:v>
      </x:c>
      <x:c r="B196" s="95" t="str">
        <x:v>P4</x:v>
      </x:c>
      <x:c r="C196" s="95" t="str">
        <x:v>Waffle Makers</x:v>
      </x:c>
      <x:c r="D196" s="95" t="str">
        <x:v>Roundup</x:v>
      </x:c>
      <x:c r="E196" s="95" t="str">
        <x:v>best belgian waffle maker</x:v>
      </x:c>
      <x:c r="F196" s="95" t="str">
        <x:v>best belgian waffle maker reviews; best belgian waffle maker comparison; best belgian waffle maker buying guide; best belgian waffle maker for the money; top rated belgian waffle maker</x:v>
      </x:c>
      <x:c r="G196" s="95" t="str">
        <x:v>Commercial Investigation</x:v>
      </x:c>
      <x:c r="H196" s="95" t="str">
        <x:v>BOFU</x:v>
      </x:c>
      <x:c r="I196" s="95" t="str">
        <x:v>/best-belgian-waffle-maker/</x:v>
      </x:c>
      <x:c r="J196" s="95" t="str">
        <x:v>WM-PIL</x:v>
      </x:c>
      <x:c r="K196" s="95" t="str"/>
      <x:c r="L196" s="95" t="str"/>
      <x:c r="M196" s="95" t="str">
        <x:v>Validate top 10 results, weak domains, content format, freshness and shopping features before briefing.</x:v>
      </x:c>
      <x:c r="N196" s="95" t="str">
        <x:v>Required for model-specific reviews and roundups</x:v>
      </x:c>
      <x:c r="O196" s="101" t="str">
        <x:v>Not Started</x:v>
      </x:c>
    </x:row>
    <x:row r="197">
      <x:c r="A197" s="100" t="str">
        <x:v>WM-R03</x:v>
      </x:c>
      <x:c r="B197" s="95" t="str">
        <x:v>P4</x:v>
      </x:c>
      <x:c r="C197" s="95" t="str">
        <x:v>Waffle Makers</x:v>
      </x:c>
      <x:c r="D197" s="95" t="str">
        <x:v>Roundup</x:v>
      </x:c>
      <x:c r="E197" s="95" t="str">
        <x:v>best mini waffle maker</x:v>
      </x:c>
      <x:c r="F197" s="95" t="str">
        <x:v>best mini waffle maker reviews; best mini waffle maker comparison; best mini waffle maker buying guide; best mini waffle maker for the money; top rated mini waffle maker</x:v>
      </x:c>
      <x:c r="G197" s="95" t="str">
        <x:v>Commercial Investigation</x:v>
      </x:c>
      <x:c r="H197" s="95" t="str">
        <x:v>BOFU</x:v>
      </x:c>
      <x:c r="I197" s="95" t="str">
        <x:v>/best-mini-waffle-maker/</x:v>
      </x:c>
      <x:c r="J197" s="95" t="str">
        <x:v>WM-PIL</x:v>
      </x:c>
      <x:c r="K197" s="95" t="str"/>
      <x:c r="L197" s="95" t="str"/>
      <x:c r="M197" s="95" t="str">
        <x:v>Validate top 10 results, weak domains, content format, freshness and shopping features before briefing.</x:v>
      </x:c>
      <x:c r="N197" s="95" t="str">
        <x:v>Required for model-specific reviews and roundups</x:v>
      </x:c>
      <x:c r="O197" s="101" t="str">
        <x:v>Not Started</x:v>
      </x:c>
    </x:row>
    <x:row r="198">
      <x:c r="A198" s="100" t="str">
        <x:v>WM-R04</x:v>
      </x:c>
      <x:c r="B198" s="95" t="str">
        <x:v>P4</x:v>
      </x:c>
      <x:c r="C198" s="95" t="str">
        <x:v>Waffle Makers</x:v>
      </x:c>
      <x:c r="D198" s="95" t="str">
        <x:v>Roundup</x:v>
      </x:c>
      <x:c r="E198" s="95" t="str">
        <x:v>best flip waffle maker</x:v>
      </x:c>
      <x:c r="F198" s="95" t="str">
        <x:v>best flip waffle maker reviews; best flip waffle maker comparison; best flip waffle maker buying guide; best flip waffle maker for the money; top rated flip waffle maker</x:v>
      </x:c>
      <x:c r="G198" s="95" t="str">
        <x:v>Commercial Investigation</x:v>
      </x:c>
      <x:c r="H198" s="95" t="str">
        <x:v>BOFU</x:v>
      </x:c>
      <x:c r="I198" s="95" t="str">
        <x:v>/best-flip-waffle-maker/</x:v>
      </x:c>
      <x:c r="J198" s="95" t="str">
        <x:v>WM-PIL</x:v>
      </x:c>
      <x:c r="K198" s="95" t="str"/>
      <x:c r="L198" s="95" t="str"/>
      <x:c r="M198" s="95" t="str">
        <x:v>Validate top 10 results, weak domains, content format, freshness and shopping features before briefing.</x:v>
      </x:c>
      <x:c r="N198" s="95" t="str">
        <x:v>Required for model-specific reviews and roundups</x:v>
      </x:c>
      <x:c r="O198" s="101" t="str">
        <x:v>Not Started</x:v>
      </x:c>
    </x:row>
    <x:row r="199">
      <x:c r="A199" s="100" t="str">
        <x:v>CG-C02</x:v>
      </x:c>
      <x:c r="B199" s="95" t="str">
        <x:v>P4</x:v>
      </x:c>
      <x:c r="C199" s="95" t="str">
        <x:v>Coffee Grinders</x:v>
      </x:c>
      <x:c r="D199" s="95" t="str">
        <x:v>Comparison</x:v>
      </x:c>
      <x:c r="E199" s="95" t="str">
        <x:v>manual vs electric coffee grinder</x:v>
      </x:c>
      <x:c r="F199" s="95" t="str">
        <x:v>manual vs electric coffee grinder differences; manual vs electric coffee grinder which is better; manual vs electric coffee grinder performance; manual vs electric coffee grinder price; manual vs electric coffee grinder pros and cons</x:v>
      </x:c>
      <x:c r="G199" s="95" t="str">
        <x:v>Commercial Investigation</x:v>
      </x:c>
      <x:c r="H199" s="95" t="str">
        <x:v>BOFU</x:v>
      </x:c>
      <x:c r="I199" s="95" t="str">
        <x:v>/manual-vs-electric-coffee-grinder/</x:v>
      </x:c>
      <x:c r="J199" s="95" t="str">
        <x:v>CG-PIL</x:v>
      </x:c>
      <x:c r="K199" s="95" t="str"/>
      <x:c r="L199" s="95" t="str"/>
      <x:c r="M199" s="95" t="str">
        <x:v>Validate top 10 results, weak domains, content format, freshness and shopping features before briefing.</x:v>
      </x:c>
      <x:c r="N199" s="95" t="str">
        <x:v>Required for model-specific reviews and roundups</x:v>
      </x:c>
      <x:c r="O199" s="101" t="str">
        <x:v>Not Started</x:v>
      </x:c>
    </x:row>
    <x:row r="200">
      <x:c r="A200" s="100" t="str">
        <x:v>CG-C03</x:v>
      </x:c>
      <x:c r="B200" s="95" t="str">
        <x:v>P4</x:v>
      </x:c>
      <x:c r="C200" s="95" t="str">
        <x:v>Coffee Grinders</x:v>
      </x:c>
      <x:c r="D200" s="95" t="str">
        <x:v>Comparison</x:v>
      </x:c>
      <x:c r="E200" s="95" t="str">
        <x:v>conical vs flat burr grinder</x:v>
      </x:c>
      <x:c r="F200" s="95" t="str">
        <x:v>conical vs flat burr grinder differences; conical vs flat burr grinder which is better; conical vs flat burr grinder performance; conical vs flat burr grinder price; conical vs flat burr grinder pros and cons</x:v>
      </x:c>
      <x:c r="G200" s="95" t="str">
        <x:v>Commercial Investigation</x:v>
      </x:c>
      <x:c r="H200" s="95" t="str">
        <x:v>BOFU</x:v>
      </x:c>
      <x:c r="I200" s="95" t="str">
        <x:v>/conical-vs-flat-burr-grinder/</x:v>
      </x:c>
      <x:c r="J200" s="95" t="str">
        <x:v>CG-PIL</x:v>
      </x:c>
      <x:c r="K200" s="95" t="str"/>
      <x:c r="L200" s="95" t="str"/>
      <x:c r="M200" s="95" t="str">
        <x:v>Validate top 10 results, weak domains, content format, freshness and shopping features before briefing.</x:v>
      </x:c>
      <x:c r="N200" s="95" t="str">
        <x:v>Required for model-specific reviews and roundups</x:v>
      </x:c>
      <x:c r="O200" s="101" t="str">
        <x:v>Not Started</x:v>
      </x:c>
    </x:row>
    <x:row r="201">
      <x:c r="A201" s="100" t="str">
        <x:v>FP-C04</x:v>
      </x:c>
      <x:c r="B201" s="95" t="str">
        <x:v>P4</x:v>
      </x:c>
      <x:c r="C201" s="95" t="str">
        <x:v>Food Processors</x:v>
      </x:c>
      <x:c r="D201" s="95" t="str">
        <x:v>Comparison</x:v>
      </x:c>
      <x:c r="E201" s="95" t="str">
        <x:v>8 cup vs 14 cup food processor</x:v>
      </x:c>
      <x:c r="F201" s="95" t="str">
        <x:v>8 cup vs 14 cup food processor differences; 8 cup vs 14 cup food processor which is better; 8 cup vs 14 cup food processor performance; 8 cup vs 14 cup food processor price; 8 cup vs 14 cup food processor pros and cons</x:v>
      </x:c>
      <x:c r="G201" s="95" t="str">
        <x:v>Commercial Investigation</x:v>
      </x:c>
      <x:c r="H201" s="95" t="str">
        <x:v>BOFU</x:v>
      </x:c>
      <x:c r="I201" s="95" t="str">
        <x:v>/8-cup-vs-14-cup-food-processor/</x:v>
      </x:c>
      <x:c r="J201" s="95" t="str">
        <x:v>FP-PIL</x:v>
      </x:c>
      <x:c r="K201" s="95" t="str"/>
      <x:c r="L201" s="95" t="str"/>
      <x:c r="M201" s="95" t="str">
        <x:v>Validate top 10 results, weak domains, content format, freshness and shopping features before briefing.</x:v>
      </x:c>
      <x:c r="N201" s="95" t="str">
        <x:v>Required for model-specific reviews and roundups</x:v>
      </x:c>
      <x:c r="O201" s="101" t="str">
        <x:v>Not Started</x:v>
      </x:c>
    </x:row>
    <x:row r="202">
      <x:c r="A202" s="100" t="str">
        <x:v>MC-C02</x:v>
      </x:c>
      <x:c r="B202" s="95" t="str">
        <x:v>P4</x:v>
      </x:c>
      <x:c r="C202" s="95" t="str">
        <x:v>Mini Choppers</x:v>
      </x:c>
      <x:c r="D202" s="95" t="str">
        <x:v>Comparison</x:v>
      </x:c>
      <x:c r="E202" s="95" t="str">
        <x:v>manual vs electric food chopper</x:v>
      </x:c>
      <x:c r="F202" s="95" t="str">
        <x:v>manual vs electric food chopper differences; manual vs electric food chopper which is better; manual vs electric food chopper performance; manual vs electric food chopper price; manual vs electric food chopper pros and cons</x:v>
      </x:c>
      <x:c r="G202" s="95" t="str">
        <x:v>Commercial Investigation</x:v>
      </x:c>
      <x:c r="H202" s="95" t="str">
        <x:v>BOFU</x:v>
      </x:c>
      <x:c r="I202" s="95" t="str">
        <x:v>/manual-vs-electric-food-chopper/</x:v>
      </x:c>
      <x:c r="J202" s="95" t="str">
        <x:v>MC-PIL</x:v>
      </x:c>
      <x:c r="K202" s="95" t="str"/>
      <x:c r="L202" s="95" t="str"/>
      <x:c r="M202" s="95" t="str">
        <x:v>Validate top 10 results, weak domains, content format, freshness and shopping features before briefing.</x:v>
      </x:c>
      <x:c r="N202" s="95" t="str">
        <x:v>Required for model-specific reviews and roundups</x:v>
      </x:c>
      <x:c r="O202" s="101" t="str">
        <x:v>Not Started</x:v>
      </x:c>
    </x:row>
    <x:row r="203">
      <x:c r="A203" s="100" t="str">
        <x:v>RC-C02</x:v>
      </x:c>
      <x:c r="B203" s="95" t="str">
        <x:v>P4</x:v>
      </x:c>
      <x:c r="C203" s="95" t="str">
        <x:v>Rice Cookers</x:v>
      </x:c>
      <x:c r="D203" s="95" t="str">
        <x:v>Comparison</x:v>
      </x:c>
      <x:c r="E203" s="95" t="str">
        <x:v>micom vs basic rice cooker</x:v>
      </x:c>
      <x:c r="F203" s="95" t="str">
        <x:v>micom vs basic rice cooker differences; micom vs basic rice cooker which is better; micom vs basic rice cooker performance; micom vs basic rice cooker price; micom vs basic rice cooker pros and cons</x:v>
      </x:c>
      <x:c r="G203" s="95" t="str">
        <x:v>Commercial Investigation</x:v>
      </x:c>
      <x:c r="H203" s="95" t="str">
        <x:v>BOFU</x:v>
      </x:c>
      <x:c r="I203" s="95" t="str">
        <x:v>/micom-vs-basic-rice-cooker/</x:v>
      </x:c>
      <x:c r="J203" s="95" t="str">
        <x:v>RC-PIL</x:v>
      </x:c>
      <x:c r="K203" s="95" t="str"/>
      <x:c r="L203" s="95" t="str"/>
      <x:c r="M203" s="95" t="str">
        <x:v>Validate top 10 results, weak domains, content format, freshness and shopping features before briefing.</x:v>
      </x:c>
      <x:c r="N203" s="95" t="str">
        <x:v>Required for model-specific reviews and roundups</x:v>
      </x:c>
      <x:c r="O203" s="101" t="str">
        <x:v>Not Started</x:v>
      </x:c>
    </x:row>
    <x:row r="204">
      <x:c r="A204" s="100" t="str">
        <x:v>RC-C03</x:v>
      </x:c>
      <x:c r="B204" s="95" t="str">
        <x:v>P4</x:v>
      </x:c>
      <x:c r="C204" s="95" t="str">
        <x:v>Rice Cookers</x:v>
      </x:c>
      <x:c r="D204" s="95" t="str">
        <x:v>Comparison</x:v>
      </x:c>
      <x:c r="E204" s="95" t="str">
        <x:v>3 cup vs 5 cup rice cooker</x:v>
      </x:c>
      <x:c r="F204" s="95" t="str">
        <x:v>3 cup vs 5 cup rice cooker differences; 3 cup vs 5 cup rice cooker which is better; 3 cup vs 5 cup rice cooker performance; 3 cup vs 5 cup rice cooker price; 3 cup vs 5 cup rice cooker pros and cons</x:v>
      </x:c>
      <x:c r="G204" s="95" t="str">
        <x:v>Commercial Investigation</x:v>
      </x:c>
      <x:c r="H204" s="95" t="str">
        <x:v>BOFU</x:v>
      </x:c>
      <x:c r="I204" s="95" t="str">
        <x:v>/3-cup-vs-5-cup-rice-cooker/</x:v>
      </x:c>
      <x:c r="J204" s="95" t="str">
        <x:v>RC-PIL</x:v>
      </x:c>
      <x:c r="K204" s="95" t="str"/>
      <x:c r="L204" s="95" t="str"/>
      <x:c r="M204" s="95" t="str">
        <x:v>Validate top 10 results, weak domains, content format, freshness and shopping features before briefing.</x:v>
      </x:c>
      <x:c r="N204" s="95" t="str">
        <x:v>Required for model-specific reviews and roundups</x:v>
      </x:c>
      <x:c r="O204" s="101" t="str">
        <x:v>Not Started</x:v>
      </x:c>
    </x:row>
    <x:row r="205">
      <x:c r="A205" s="100" t="str">
        <x:v>WM-C01</x:v>
      </x:c>
      <x:c r="B205" s="95" t="str">
        <x:v>P4</x:v>
      </x:c>
      <x:c r="C205" s="95" t="str">
        <x:v>Waffle Makers</x:v>
      </x:c>
      <x:c r="D205" s="95" t="str">
        <x:v>Comparison</x:v>
      </x:c>
      <x:c r="E205" s="95" t="str">
        <x:v>belgian vs classic waffle maker</x:v>
      </x:c>
      <x:c r="F205" s="95" t="str">
        <x:v>belgian vs classic waffle maker differences; belgian vs classic waffle maker which is better; belgian vs classic waffle maker performance; belgian vs classic waffle maker price; belgian vs classic waffle maker pros and cons</x:v>
      </x:c>
      <x:c r="G205" s="95" t="str">
        <x:v>Commercial Investigation</x:v>
      </x:c>
      <x:c r="H205" s="95" t="str">
        <x:v>BOFU</x:v>
      </x:c>
      <x:c r="I205" s="95" t="str">
        <x:v>/belgian-vs-classic-waffle-maker/</x:v>
      </x:c>
      <x:c r="J205" s="95" t="str">
        <x:v>WM-PIL</x:v>
      </x:c>
      <x:c r="K205" s="95" t="str"/>
      <x:c r="L205" s="95" t="str"/>
      <x:c r="M205" s="95" t="str">
        <x:v>Validate top 10 results, weak domains, content format, freshness and shopping features before briefing.</x:v>
      </x:c>
      <x:c r="N205" s="95" t="str">
        <x:v>Required for model-specific reviews and roundups</x:v>
      </x:c>
      <x:c r="O205" s="101" t="str">
        <x:v>Not Started</x:v>
      </x:c>
    </x:row>
    <x:row r="206">
      <x:c r="A206" s="100" t="str">
        <x:v>WM-C02</x:v>
      </x:c>
      <x:c r="B206" s="95" t="str">
        <x:v>P4</x:v>
      </x:c>
      <x:c r="C206" s="95" t="str">
        <x:v>Waffle Makers</x:v>
      </x:c>
      <x:c r="D206" s="95" t="str">
        <x:v>Comparison</x:v>
      </x:c>
      <x:c r="E206" s="95" t="str">
        <x:v>flip vs standard waffle maker</x:v>
      </x:c>
      <x:c r="F206" s="95" t="str">
        <x:v>flip vs standard waffle maker differences; flip vs standard waffle maker which is better; flip vs standard waffle maker performance; flip vs standard waffle maker price; flip vs standard waffle maker pros and cons</x:v>
      </x:c>
      <x:c r="G206" s="95" t="str">
        <x:v>Commercial Investigation</x:v>
      </x:c>
      <x:c r="H206" s="95" t="str">
        <x:v>BOFU</x:v>
      </x:c>
      <x:c r="I206" s="95" t="str">
        <x:v>/flip-vs-standard-waffle-maker/</x:v>
      </x:c>
      <x:c r="J206" s="95" t="str">
        <x:v>WM-PIL</x:v>
      </x:c>
      <x:c r="K206" s="95" t="str"/>
      <x:c r="L206" s="95" t="str"/>
      <x:c r="M206" s="95" t="str">
        <x:v>Validate top 10 results, weak domains, content format, freshness and shopping features before briefing.</x:v>
      </x:c>
      <x:c r="N206" s="95" t="str">
        <x:v>Required for model-specific reviews and roundups</x:v>
      </x:c>
      <x:c r="O206" s="101" t="str">
        <x:v>Not Started</x:v>
      </x:c>
    </x:row>
    <x:row r="207">
      <x:c r="A207" s="100" t="str">
        <x:v>CG-V01</x:v>
      </x:c>
      <x:c r="B207" s="95" t="str">
        <x:v>P4</x:v>
      </x:c>
      <x:c r="C207" s="95" t="str">
        <x:v>Coffee Grinders</x:v>
      </x:c>
      <x:c r="D207" s="95" t="str">
        <x:v>Single Review</x:v>
      </x:c>
      <x:c r="E207" s="95" t="str">
        <x:v>baratza encore esp review</x:v>
      </x:c>
      <x:c r="F207" s="95" t="str">
        <x:v>baratza encore esp pros and cons; is baratza encore esp worth it; baratza encore esp alternatives; baratza encore esp performance; baratza encore esp specifications</x:v>
      </x:c>
      <x:c r="G207" s="95" t="str">
        <x:v>Commercial Investigation</x:v>
      </x:c>
      <x:c r="H207" s="95" t="str">
        <x:v>BOFU</x:v>
      </x:c>
      <x:c r="I207" s="95" t="str">
        <x:v>/baratza-encore-esp-review/</x:v>
      </x:c>
      <x:c r="J207" s="95" t="str">
        <x:v>CG-PIL</x:v>
      </x:c>
      <x:c r="K207" s="95" t="str"/>
      <x:c r="L207" s="95" t="str"/>
      <x:c r="M207" s="95" t="str">
        <x:v>Validate top 10 results, weak domains, content format, freshness and shopping features before briefing.</x:v>
      </x:c>
      <x:c r="N207" s="95" t="str">
        <x:v>Required for model-specific reviews and roundups</x:v>
      </x:c>
      <x:c r="O207" s="101" t="str">
        <x:v>Not Started</x:v>
      </x:c>
    </x:row>
    <x:row r="208">
      <x:c r="A208" s="100" t="str">
        <x:v>CG-V02</x:v>
      </x:c>
      <x:c r="B208" s="95" t="str">
        <x:v>P4</x:v>
      </x:c>
      <x:c r="C208" s="95" t="str">
        <x:v>Coffee Grinders</x:v>
      </x:c>
      <x:c r="D208" s="95" t="str">
        <x:v>Single Review</x:v>
      </x:c>
      <x:c r="E208" s="95" t="str">
        <x:v>oxo brew conical burr grinder review</x:v>
      </x:c>
      <x:c r="F208" s="95" t="str">
        <x:v>oxo brew conical burr grinder pros and cons; is oxo brew conical burr grinder worth it; oxo brew conical burr grinder alternatives; oxo brew conical burr grinder performance; oxo brew conical burr grinder specifications</x:v>
      </x:c>
      <x:c r="G208" s="95" t="str">
        <x:v>Commercial Investigation</x:v>
      </x:c>
      <x:c r="H208" s="95" t="str">
        <x:v>BOFU</x:v>
      </x:c>
      <x:c r="I208" s="95" t="str">
        <x:v>/oxo-brew-conical-burr-grinder-review/</x:v>
      </x:c>
      <x:c r="J208" s="95" t="str">
        <x:v>CG-PIL</x:v>
      </x:c>
      <x:c r="K208" s="95" t="str"/>
      <x:c r="L208" s="95" t="str"/>
      <x:c r="M208" s="95" t="str">
        <x:v>Validate top 10 results, weak domains, content format, freshness and shopping features before briefing.</x:v>
      </x:c>
      <x:c r="N208" s="95" t="str">
        <x:v>Required for model-specific reviews and roundups</x:v>
      </x:c>
      <x:c r="O208" s="101" t="str">
        <x:v>Not Started</x:v>
      </x:c>
    </x:row>
    <x:row r="209">
      <x:c r="A209" s="100" t="str">
        <x:v>CG-V03</x:v>
      </x:c>
      <x:c r="B209" s="95" t="str">
        <x:v>P4</x:v>
      </x:c>
      <x:c r="C209" s="95" t="str">
        <x:v>Coffee Grinders</x:v>
      </x:c>
      <x:c r="D209" s="95" t="str">
        <x:v>Single Review</x:v>
      </x:c>
      <x:c r="E209" s="95" t="str">
        <x:v>fellow ode gen 2 review</x:v>
      </x:c>
      <x:c r="F209" s="95" t="str">
        <x:v>fellow ode gen 2 pros and cons; is fellow ode gen 2 worth it; fellow ode gen 2 alternatives; fellow ode gen 2 performance; fellow ode gen 2 specifications</x:v>
      </x:c>
      <x:c r="G209" s="95" t="str">
        <x:v>Commercial Investigation</x:v>
      </x:c>
      <x:c r="H209" s="95" t="str">
        <x:v>BOFU</x:v>
      </x:c>
      <x:c r="I209" s="95" t="str">
        <x:v>/fellow-ode-gen-2-review/</x:v>
      </x:c>
      <x:c r="J209" s="95" t="str">
        <x:v>CG-PIL</x:v>
      </x:c>
      <x:c r="K209" s="95" t="str"/>
      <x:c r="L209" s="95" t="str"/>
      <x:c r="M209" s="95" t="str">
        <x:v>Validate top 10 results, weak domains, content format, freshness and shopping features before briefing.</x:v>
      </x:c>
      <x:c r="N209" s="95" t="str">
        <x:v>Required for model-specific reviews and roundups</x:v>
      </x:c>
      <x:c r="O209" s="101" t="str">
        <x:v>Not Started</x:v>
      </x:c>
    </x:row>
    <x:row r="210">
      <x:c r="A210" s="100" t="str">
        <x:v>FP-V02</x:v>
      </x:c>
      <x:c r="B210" s="95" t="str">
        <x:v>P4</x:v>
      </x:c>
      <x:c r="C210" s="95" t="str">
        <x:v>Food Processors</x:v>
      </x:c>
      <x:c r="D210" s="95" t="str">
        <x:v>Single Review</x:v>
      </x:c>
      <x:c r="E210" s="95" t="str">
        <x:v>kitchenaid 9 cup food processor review</x:v>
      </x:c>
      <x:c r="F210" s="95" t="str">
        <x:v>kitchenaid 9 cup food processor pros and cons; is kitchenaid 9 cup food processor worth it; kitchenaid 9 cup food processor alternatives; kitchenaid 9 cup food processor performance; kitchenaid 9 cup food processor specifications</x:v>
      </x:c>
      <x:c r="G210" s="95" t="str">
        <x:v>Commercial Investigation</x:v>
      </x:c>
      <x:c r="H210" s="95" t="str">
        <x:v>BOFU</x:v>
      </x:c>
      <x:c r="I210" s="95" t="str">
        <x:v>/kitchenaid-9-cup-food-processor-review/</x:v>
      </x:c>
      <x:c r="J210" s="95" t="str">
        <x:v>FP-PIL</x:v>
      </x:c>
      <x:c r="K210" s="95" t="str"/>
      <x:c r="L210" s="95" t="str"/>
      <x:c r="M210" s="95" t="str">
        <x:v>Validate top 10 results, weak domains, content format, freshness and shopping features before briefing.</x:v>
      </x:c>
      <x:c r="N210" s="95" t="str">
        <x:v>Required for model-specific reviews and roundups</x:v>
      </x:c>
      <x:c r="O210" s="101" t="str">
        <x:v>Not Started</x:v>
      </x:c>
    </x:row>
    <x:row r="211">
      <x:c r="A211" s="100" t="str">
        <x:v>FP-V03</x:v>
      </x:c>
      <x:c r="B211" s="95" t="str">
        <x:v>P4</x:v>
      </x:c>
      <x:c r="C211" s="95" t="str">
        <x:v>Food Processors</x:v>
      </x:c>
      <x:c r="D211" s="95" t="str">
        <x:v>Single Review</x:v>
      </x:c>
      <x:c r="E211" s="95" t="str">
        <x:v>ninja professional food processor review</x:v>
      </x:c>
      <x:c r="F211" s="95" t="str">
        <x:v>ninja professional food processor pros and cons; is ninja professional food processor worth it; ninja professional food processor alternatives; ninja professional food processor performance; ninja professional food processor specifications</x:v>
      </x:c>
      <x:c r="G211" s="95" t="str">
        <x:v>Commercial Investigation</x:v>
      </x:c>
      <x:c r="H211" s="95" t="str">
        <x:v>BOFU</x:v>
      </x:c>
      <x:c r="I211" s="95" t="str">
        <x:v>/ninja-professional-food-processor-review/</x:v>
      </x:c>
      <x:c r="J211" s="95" t="str">
        <x:v>FP-PIL</x:v>
      </x:c>
      <x:c r="K211" s="95" t="str"/>
      <x:c r="L211" s="95" t="str"/>
      <x:c r="M211" s="95" t="str">
        <x:v>Validate top 10 results, weak domains, content format, freshness and shopping features before briefing.</x:v>
      </x:c>
      <x:c r="N211" s="95" t="str">
        <x:v>Required for model-specific reviews and roundups</x:v>
      </x:c>
      <x:c r="O211" s="101" t="str">
        <x:v>Not Started</x:v>
      </x:c>
    </x:row>
    <x:row r="212">
      <x:c r="A212" s="100" t="str">
        <x:v>MC-V01</x:v>
      </x:c>
      <x:c r="B212" s="95" t="str">
        <x:v>P4</x:v>
      </x:c>
      <x:c r="C212" s="95" t="str">
        <x:v>Mini Choppers</x:v>
      </x:c>
      <x:c r="D212" s="95" t="str">
        <x:v>Single Review</x:v>
      </x:c>
      <x:c r="E212" s="95" t="str">
        <x:v>kitchenaid 3.5 cup food chopper review</x:v>
      </x:c>
      <x:c r="F212" s="95" t="str">
        <x:v>kitchenaid 3.5 cup food chopper pros and cons; is kitchenaid 3.5 cup food chopper worth it; kitchenaid 3.5 cup food chopper alternatives; kitchenaid 3.5 cup food chopper performance; kitchenaid 3.5 cup food chopper specifications</x:v>
      </x:c>
      <x:c r="G212" s="95" t="str">
        <x:v>Commercial Investigation</x:v>
      </x:c>
      <x:c r="H212" s="95" t="str">
        <x:v>BOFU</x:v>
      </x:c>
      <x:c r="I212" s="95" t="str">
        <x:v>/kitchenaid-3-5-cup-food-chopper-review/</x:v>
      </x:c>
      <x:c r="J212" s="95" t="str">
        <x:v>MC-PIL</x:v>
      </x:c>
      <x:c r="K212" s="95" t="str"/>
      <x:c r="L212" s="95" t="str"/>
      <x:c r="M212" s="95" t="str">
        <x:v>Validate top 10 results, weak domains, content format, freshness and shopping features before briefing.</x:v>
      </x:c>
      <x:c r="N212" s="95" t="str">
        <x:v>Required for model-specific reviews and roundups</x:v>
      </x:c>
      <x:c r="O212" s="101" t="str">
        <x:v>Not Started</x:v>
      </x:c>
    </x:row>
    <x:row r="213">
      <x:c r="A213" s="100" t="str">
        <x:v>MC-V02</x:v>
      </x:c>
      <x:c r="B213" s="95" t="str">
        <x:v>P4</x:v>
      </x:c>
      <x:c r="C213" s="95" t="str">
        <x:v>Mini Choppers</x:v>
      </x:c>
      <x:c r="D213" s="95" t="str">
        <x:v>Single Review</x:v>
      </x:c>
      <x:c r="E213" s="95" t="str">
        <x:v>cuisinart mini prep review</x:v>
      </x:c>
      <x:c r="F213" s="95" t="str">
        <x:v>cuisinart mini prep pros and cons; is cuisinart mini prep worth it; cuisinart mini prep alternatives; cuisinart mini prep performance; cuisinart mini prep specifications</x:v>
      </x:c>
      <x:c r="G213" s="95" t="str">
        <x:v>Commercial Investigation</x:v>
      </x:c>
      <x:c r="H213" s="95" t="str">
        <x:v>BOFU</x:v>
      </x:c>
      <x:c r="I213" s="95" t="str">
        <x:v>/cuisinart-mini-prep-review/</x:v>
      </x:c>
      <x:c r="J213" s="95" t="str">
        <x:v>MC-PIL</x:v>
      </x:c>
      <x:c r="K213" s="95" t="str"/>
      <x:c r="L213" s="95" t="str"/>
      <x:c r="M213" s="95" t="str">
        <x:v>Validate top 10 results, weak domains, content format, freshness and shopping features before briefing.</x:v>
      </x:c>
      <x:c r="N213" s="95" t="str">
        <x:v>Required for model-specific reviews and roundups</x:v>
      </x:c>
      <x:c r="O213" s="101" t="str">
        <x:v>Not Started</x:v>
      </x:c>
    </x:row>
    <x:row r="214">
      <x:c r="A214" s="100" t="str">
        <x:v>RC-V01</x:v>
      </x:c>
      <x:c r="B214" s="95" t="str">
        <x:v>P4</x:v>
      </x:c>
      <x:c r="C214" s="95" t="str">
        <x:v>Rice Cookers</x:v>
      </x:c>
      <x:c r="D214" s="95" t="str">
        <x:v>Single Review</x:v>
      </x:c>
      <x:c r="E214" s="95" t="str">
        <x:v>zojirushi neuro fuzzy review</x:v>
      </x:c>
      <x:c r="F214" s="95" t="str">
        <x:v>zojirushi neuro fuzzy pros and cons; is zojirushi neuro fuzzy worth it; zojirushi neuro fuzzy alternatives; zojirushi neuro fuzzy performance; zojirushi neuro fuzzy specifications</x:v>
      </x:c>
      <x:c r="G214" s="95" t="str">
        <x:v>Commercial Investigation</x:v>
      </x:c>
      <x:c r="H214" s="95" t="str">
        <x:v>BOFU</x:v>
      </x:c>
      <x:c r="I214" s="95" t="str">
        <x:v>/zojirushi-neuro-fuzzy-review/</x:v>
      </x:c>
      <x:c r="J214" s="95" t="str">
        <x:v>RC-PIL</x:v>
      </x:c>
      <x:c r="K214" s="95" t="str"/>
      <x:c r="L214" s="95" t="str"/>
      <x:c r="M214" s="95" t="str">
        <x:v>Validate top 10 results, weak domains, content format, freshness and shopping features before briefing.</x:v>
      </x:c>
      <x:c r="N214" s="95" t="str">
        <x:v>Required for model-specific reviews and roundups</x:v>
      </x:c>
      <x:c r="O214" s="101" t="str">
        <x:v>Not Started</x:v>
      </x:c>
    </x:row>
    <x:row r="215">
      <x:c r="A215" s="100" t="str">
        <x:v>RC-V02</x:v>
      </x:c>
      <x:c r="B215" s="95" t="str">
        <x:v>P4</x:v>
      </x:c>
      <x:c r="C215" s="95" t="str">
        <x:v>Rice Cookers</x:v>
      </x:c>
      <x:c r="D215" s="95" t="str">
        <x:v>Single Review</x:v>
      </x:c>
      <x:c r="E215" s="95" t="str">
        <x:v>aroma rice cooker review</x:v>
      </x:c>
      <x:c r="F215" s="95" t="str">
        <x:v>aroma rice cooker pros and cons; is aroma rice cooker worth it; aroma rice cooker alternatives; aroma rice cooker performance; aroma rice cooker specifications</x:v>
      </x:c>
      <x:c r="G215" s="95" t="str">
        <x:v>Commercial Investigation</x:v>
      </x:c>
      <x:c r="H215" s="95" t="str">
        <x:v>BOFU</x:v>
      </x:c>
      <x:c r="I215" s="95" t="str">
        <x:v>/aroma-rice-cooker-review/</x:v>
      </x:c>
      <x:c r="J215" s="95" t="str">
        <x:v>RC-PIL</x:v>
      </x:c>
      <x:c r="K215" s="95" t="str"/>
      <x:c r="L215" s="95" t="str"/>
      <x:c r="M215" s="95" t="str">
        <x:v>Validate top 10 results, weak domains, content format, freshness and shopping features before briefing.</x:v>
      </x:c>
      <x:c r="N215" s="95" t="str">
        <x:v>Required for model-specific reviews and roundups</x:v>
      </x:c>
      <x:c r="O215" s="101" t="str">
        <x:v>Not Started</x:v>
      </x:c>
    </x:row>
    <x:row r="216">
      <x:c r="A216" s="100" t="str">
        <x:v>WM-V01</x:v>
      </x:c>
      <x:c r="B216" s="95" t="str">
        <x:v>P4</x:v>
      </x:c>
      <x:c r="C216" s="95" t="str">
        <x:v>Waffle Makers</x:v>
      </x:c>
      <x:c r="D216" s="95" t="str">
        <x:v>Single Review</x:v>
      </x:c>
      <x:c r="E216" s="95" t="str">
        <x:v>cuisinart double belgian waffle maker review</x:v>
      </x:c>
      <x:c r="F216" s="95" t="str">
        <x:v>cuisinart double belgian waffle maker pros and cons; is cuisinart double belgian waffle maker worth it; cuisinart double belgian waffle maker alternatives; cuisinart double belgian waffle maker performance; cuisinart double belgian waffle maker specifications</x:v>
      </x:c>
      <x:c r="G216" s="95" t="str">
        <x:v>Commercial Investigation</x:v>
      </x:c>
      <x:c r="H216" s="95" t="str">
        <x:v>BOFU</x:v>
      </x:c>
      <x:c r="I216" s="95" t="str">
        <x:v>/cuisinart-double-belgian-waffle-maker-review/</x:v>
      </x:c>
      <x:c r="J216" s="95" t="str">
        <x:v>WM-PIL</x:v>
      </x:c>
      <x:c r="K216" s="95" t="str"/>
      <x:c r="L216" s="95" t="str"/>
      <x:c r="M216" s="95" t="str">
        <x:v>Validate top 10 results, weak domains, content format, freshness and shopping features before briefing.</x:v>
      </x:c>
      <x:c r="N216" s="95" t="str">
        <x:v>Required for model-specific reviews and roundups</x:v>
      </x:c>
      <x:c r="O216" s="101" t="str">
        <x:v>Not Started</x:v>
      </x:c>
    </x:row>
    <x:row r="217">
      <x:c r="A217" s="100" t="str">
        <x:v>WM-V02</x:v>
      </x:c>
      <x:c r="B217" s="95" t="str">
        <x:v>P4</x:v>
      </x:c>
      <x:c r="C217" s="95" t="str">
        <x:v>Waffle Makers</x:v>
      </x:c>
      <x:c r="D217" s="95" t="str">
        <x:v>Single Review</x:v>
      </x:c>
      <x:c r="E217" s="95" t="str">
        <x:v>dash mini waffle maker review</x:v>
      </x:c>
      <x:c r="F217" s="95" t="str">
        <x:v>dash mini waffle maker pros and cons; is dash mini waffle maker worth it; dash mini waffle maker alternatives; dash mini waffle maker performance; dash mini waffle maker specifications</x:v>
      </x:c>
      <x:c r="G217" s="95" t="str">
        <x:v>Commercial Investigation</x:v>
      </x:c>
      <x:c r="H217" s="95" t="str">
        <x:v>BOFU</x:v>
      </x:c>
      <x:c r="I217" s="95" t="str">
        <x:v>/dash-mini-waffle-maker-review/</x:v>
      </x:c>
      <x:c r="J217" s="95" t="str">
        <x:v>WM-PIL</x:v>
      </x:c>
      <x:c r="K217" s="95" t="str"/>
      <x:c r="L217" s="95" t="str"/>
      <x:c r="M217" s="95" t="str">
        <x:v>Validate top 10 results, weak domains, content format, freshness and shopping features before briefing.</x:v>
      </x:c>
      <x:c r="N217" s="95" t="str">
        <x:v>Required for model-specific reviews and roundups</x:v>
      </x:c>
      <x:c r="O217" s="101" t="str">
        <x:v>Not Started</x:v>
      </x:c>
    </x:row>
    <x:row r="218">
      <x:c r="A218" s="100" t="str">
        <x:v>WM-G01</x:v>
      </x:c>
      <x:c r="B218" s="95" t="str">
        <x:v>P4</x:v>
      </x:c>
      <x:c r="C218" s="95" t="str">
        <x:v>Waffle Makers</x:v>
      </x:c>
      <x:c r="D218" s="95" t="str">
        <x:v>Buying Guide</x:v>
      </x:c>
      <x:c r="E218" s="95" t="str">
        <x:v>waffle maker buying guide</x:v>
      </x:c>
      <x:c r="F218" s="95" t="str">
        <x:v>how to choose waffle maker; waffle maker buying guide features; waffle maker buying guide size; waffle maker buying guide wattage; waffle maker buying guide checklist</x:v>
      </x:c>
      <x:c r="G218" s="95" t="str">
        <x:v>Informational</x:v>
      </x:c>
      <x:c r="H218" s="95" t="str">
        <x:v>TOFU/MOFU</x:v>
      </x:c>
      <x:c r="I218" s="95" t="str">
        <x:v>/waffle-maker-buying-guide/</x:v>
      </x:c>
      <x:c r="J218" s="95" t="str">
        <x:v>WM-HUB</x:v>
      </x:c>
      <x:c r="K218" s="95" t="str"/>
      <x:c r="L218" s="95" t="str"/>
      <x:c r="M218" s="95" t="str">
        <x:v>Validate top 10 results, weak domains, content format, freshness and shopping features before briefing.</x:v>
      </x:c>
      <x:c r="N218" s="95" t="str">
        <x:v>Required for model-specific reviews and roundups</x:v>
      </x:c>
      <x:c r="O218" s="101" t="str">
        <x:v>Not Started</x:v>
      </x:c>
    </x:row>
    <x:row r="219">
      <x:c r="A219" s="100" t="str">
        <x:v>CG-G04</x:v>
      </x:c>
      <x:c r="B219" s="95" t="str">
        <x:v>P4</x:v>
      </x:c>
      <x:c r="C219" s="95" t="str">
        <x:v>Coffee Grinders</x:v>
      </x:c>
      <x:c r="D219" s="95" t="str">
        <x:v>Informational</x:v>
      </x:c>
      <x:c r="E219" s="95" t="str">
        <x:v>how long do coffee grinders last</x:v>
      </x:c>
      <x:c r="F219" s="95" t="str">
        <x:v>how long do coffee grinders last explained; how long do coffee grinders last guide; how long do coffee grinders last FAQ; how long do coffee grinders last tips; how long do coffee grinders last common mistakes</x:v>
      </x:c>
      <x:c r="G219" s="95" t="str">
        <x:v>Informational</x:v>
      </x:c>
      <x:c r="H219" s="95" t="str">
        <x:v>TOFU/MOFU</x:v>
      </x:c>
      <x:c r="I219" s="95" t="str">
        <x:v>/how-long-do-coffee-grinders-last/</x:v>
      </x:c>
      <x:c r="J219" s="95" t="str">
        <x:v>CG-HUB</x:v>
      </x:c>
      <x:c r="K219" s="95" t="str"/>
      <x:c r="L219" s="95" t="str"/>
      <x:c r="M219" s="95" t="str">
        <x:v>Validate top 10 results, weak domains, content format, freshness and shopping features before briefing.</x:v>
      </x:c>
      <x:c r="N219" s="95" t="str">
        <x:v>Required for model-specific reviews and roundups</x:v>
      </x:c>
      <x:c r="O219" s="101" t="str">
        <x:v>Not Started</x:v>
      </x:c>
    </x:row>
    <x:row r="220">
      <x:c r="A220" s="100" t="str">
        <x:v>FP-G06</x:v>
      </x:c>
      <x:c r="B220" s="95" t="str">
        <x:v>P4</x:v>
      </x:c>
      <x:c r="C220" s="95" t="str">
        <x:v>Food Processors</x:v>
      </x:c>
      <x:c r="D220" s="95" t="str">
        <x:v>Informational</x:v>
      </x:c>
      <x:c r="E220" s="95" t="str">
        <x:v>how long do food processors last</x:v>
      </x:c>
      <x:c r="F220" s="95" t="str">
        <x:v>how long do food processors last explained; how long do food processors last guide; how long do food processors last FAQ; how long do food processors last tips; how long do food processors last common mistakes</x:v>
      </x:c>
      <x:c r="G220" s="95" t="str">
        <x:v>Informational</x:v>
      </x:c>
      <x:c r="H220" s="95" t="str">
        <x:v>TOFU/MOFU</x:v>
      </x:c>
      <x:c r="I220" s="95" t="str">
        <x:v>/how-long-do-food-processors-last/</x:v>
      </x:c>
      <x:c r="J220" s="95" t="str">
        <x:v>FP-HUB</x:v>
      </x:c>
      <x:c r="K220" s="95" t="str"/>
      <x:c r="L220" s="95" t="str"/>
      <x:c r="M220" s="95" t="str">
        <x:v>Validate top 10 results, weak domains, content format, freshness and shopping features before briefing.</x:v>
      </x:c>
      <x:c r="N220" s="95" t="str">
        <x:v>Required for model-specific reviews and roundups</x:v>
      </x:c>
      <x:c r="O220" s="101" t="str">
        <x:v>Not Started</x:v>
      </x:c>
    </x:row>
    <x:row r="221">
      <x:c r="A221" s="100" t="str">
        <x:v>MC-G02</x:v>
      </x:c>
      <x:c r="B221" s="95" t="str">
        <x:v>P4</x:v>
      </x:c>
      <x:c r="C221" s="95" t="str">
        <x:v>Mini Choppers</x:v>
      </x:c>
      <x:c r="D221" s="95" t="str">
        <x:v>Informational</x:v>
      </x:c>
      <x:c r="E221" s="95" t="str">
        <x:v>what can you make in a mini chopper</x:v>
      </x:c>
      <x:c r="F221" s="95" t="str">
        <x:v>what can you make in a mini chopper explained; what can you make in a mini chopper guide; what can you make in a mini chopper FAQ; what can you make in a mini chopper tips; what can you make in a mini chopper common mistakes</x:v>
      </x:c>
      <x:c r="G221" s="95" t="str">
        <x:v>Informational</x:v>
      </x:c>
      <x:c r="H221" s="95" t="str">
        <x:v>TOFU/MOFU</x:v>
      </x:c>
      <x:c r="I221" s="95" t="str">
        <x:v>/what-can-you-make-in-a-mini-chopper/</x:v>
      </x:c>
      <x:c r="J221" s="95" t="str">
        <x:v>MC-HUB</x:v>
      </x:c>
      <x:c r="K221" s="95" t="str"/>
      <x:c r="L221" s="95" t="str"/>
      <x:c r="M221" s="95" t="str">
        <x:v>Validate top 10 results, weak domains, content format, freshness and shopping features before briefing.</x:v>
      </x:c>
      <x:c r="N221" s="95" t="str">
        <x:v>Required for model-specific reviews and roundups</x:v>
      </x:c>
      <x:c r="O221" s="101" t="str">
        <x:v>Not Started</x:v>
      </x:c>
    </x:row>
    <x:row r="222">
      <x:c r="A222" s="100" t="str">
        <x:v>RC-G04</x:v>
      </x:c>
      <x:c r="B222" s="95" t="str">
        <x:v>P4</x:v>
      </x:c>
      <x:c r="C222" s="95" t="str">
        <x:v>Rice Cookers</x:v>
      </x:c>
      <x:c r="D222" s="95" t="str">
        <x:v>Informational</x:v>
      </x:c>
      <x:c r="E222" s="95" t="str">
        <x:v>how long do rice cookers last</x:v>
      </x:c>
      <x:c r="F222" s="95" t="str">
        <x:v>how long do rice cookers last explained; how long do rice cookers last guide; how long do rice cookers last FAQ; how long do rice cookers last tips; how long do rice cookers last common mistakes</x:v>
      </x:c>
      <x:c r="G222" s="95" t="str">
        <x:v>Informational</x:v>
      </x:c>
      <x:c r="H222" s="95" t="str">
        <x:v>TOFU/MOFU</x:v>
      </x:c>
      <x:c r="I222" s="95" t="str">
        <x:v>/how-long-do-rice-cookers-last/</x:v>
      </x:c>
      <x:c r="J222" s="95" t="str">
        <x:v>RC-HUB</x:v>
      </x:c>
      <x:c r="K222" s="95" t="str"/>
      <x:c r="L222" s="95" t="str"/>
      <x:c r="M222" s="95" t="str">
        <x:v>Validate top 10 results, weak domains, content format, freshness and shopping features before briefing.</x:v>
      </x:c>
      <x:c r="N222" s="95" t="str">
        <x:v>Required for model-specific reviews and roundups</x:v>
      </x:c>
      <x:c r="O222" s="101" t="str">
        <x:v>Not Started</x:v>
      </x:c>
    </x:row>
    <x:row r="223">
      <x:c r="A223" s="100" t="str">
        <x:v>TO-G06</x:v>
      </x:c>
      <x:c r="B223" s="95" t="str">
        <x:v>P4</x:v>
      </x:c>
      <x:c r="C223" s="95" t="str">
        <x:v>Toaster Ovens</x:v>
      </x:c>
      <x:c r="D223" s="95" t="str">
        <x:v>Informational</x:v>
      </x:c>
      <x:c r="E223" s="95" t="str">
        <x:v>how long do toaster ovens last</x:v>
      </x:c>
      <x:c r="F223" s="95" t="str">
        <x:v>how long do toaster ovens last explained; how long do toaster ovens last guide; how long do toaster ovens last FAQ; how long do toaster ovens last tips; how long do toaster ovens last common mistakes</x:v>
      </x:c>
      <x:c r="G223" s="95" t="str">
        <x:v>Informational</x:v>
      </x:c>
      <x:c r="H223" s="95" t="str">
        <x:v>TOFU/MOFU</x:v>
      </x:c>
      <x:c r="I223" s="95" t="str">
        <x:v>/how-long-do-toaster-ovens-last/</x:v>
      </x:c>
      <x:c r="J223" s="95" t="str">
        <x:v>TO-HUB</x:v>
      </x:c>
      <x:c r="K223" s="95" t="str"/>
      <x:c r="L223" s="95" t="str"/>
      <x:c r="M223" s="95" t="str">
        <x:v>Validate top 10 results, weak domains, content format, freshness and shopping features before briefing.</x:v>
      </x:c>
      <x:c r="N223" s="95" t="str">
        <x:v>Required for model-specific reviews and roundups</x:v>
      </x:c>
      <x:c r="O223" s="101" t="str">
        <x:v>Not Started</x:v>
      </x:c>
    </x:row>
    <x:row r="224">
      <x:c r="A224" s="100" t="str">
        <x:v>WM-G03</x:v>
      </x:c>
      <x:c r="B224" s="95" t="str">
        <x:v>P4</x:v>
      </x:c>
      <x:c r="C224" s="95" t="str">
        <x:v>Waffle Makers</x:v>
      </x:c>
      <x:c r="D224" s="95" t="str">
        <x:v>Informational</x:v>
      </x:c>
      <x:c r="E224" s="95" t="str">
        <x:v>how long do waffle makers last</x:v>
      </x:c>
      <x:c r="F224" s="95" t="str">
        <x:v>how long do waffle makers last explained; how long do waffle makers last guide; how long do waffle makers last FAQ; how long do waffle makers last tips; how long do waffle makers last common mistakes</x:v>
      </x:c>
      <x:c r="G224" s="95" t="str">
        <x:v>Informational</x:v>
      </x:c>
      <x:c r="H224" s="95" t="str">
        <x:v>TOFU/MOFU</x:v>
      </x:c>
      <x:c r="I224" s="95" t="str">
        <x:v>/how-long-do-waffle-makers-last/</x:v>
      </x:c>
      <x:c r="J224" s="95" t="str">
        <x:v>WM-HUB</x:v>
      </x:c>
      <x:c r="K224" s="95" t="str"/>
      <x:c r="L224" s="95" t="str"/>
      <x:c r="M224" s="95" t="str">
        <x:v>Validate top 10 results, weak domains, content format, freshness and shopping features before briefing.</x:v>
      </x:c>
      <x:c r="N224" s="95" t="str">
        <x:v>Required for model-specific reviews and roundups</x:v>
      </x:c>
      <x:c r="O224" s="101" t="str">
        <x:v>Not Started</x:v>
      </x:c>
    </x:row>
    <x:row r="225">
      <x:c r="A225" s="100" t="str">
        <x:v>CG-G03</x:v>
      </x:c>
      <x:c r="B225" s="95" t="str">
        <x:v>P4</x:v>
      </x:c>
      <x:c r="C225" s="95" t="str">
        <x:v>Coffee Grinders</x:v>
      </x:c>
      <x:c r="D225" s="95" t="str">
        <x:v>How-To</x:v>
      </x:c>
      <x:c r="E225" s="95" t="str">
        <x:v>how to clean a burr grinder</x:v>
      </x:c>
      <x:c r="F225" s="95" t="str">
        <x:v>how to clean a burr grinder explained; how to clean a burr grinder guide; how to clean a burr grinder FAQ; how to clean a burr grinder tips; how to clean a burr grinder common mistakes</x:v>
      </x:c>
      <x:c r="G225" s="95" t="str">
        <x:v>Informational</x:v>
      </x:c>
      <x:c r="H225" s="95" t="str">
        <x:v>TOFU/MOFU</x:v>
      </x:c>
      <x:c r="I225" s="95" t="str">
        <x:v>/how-to-clean-a-burr-grinder/</x:v>
      </x:c>
      <x:c r="J225" s="95" t="str">
        <x:v>CG-HUB</x:v>
      </x:c>
      <x:c r="K225" s="95" t="str"/>
      <x:c r="L225" s="95" t="str"/>
      <x:c r="M225" s="95" t="str">
        <x:v>Validate top 10 results, weak domains, content format, freshness and shopping features before briefing.</x:v>
      </x:c>
      <x:c r="N225" s="95" t="str">
        <x:v>Required for model-specific reviews and roundups</x:v>
      </x:c>
      <x:c r="O225" s="101" t="str">
        <x:v>Not Started</x:v>
      </x:c>
    </x:row>
    <x:row r="226">
      <x:c r="A226" s="100" t="str">
        <x:v>FP-G04</x:v>
      </x:c>
      <x:c r="B226" s="95" t="str">
        <x:v>P4</x:v>
      </x:c>
      <x:c r="C226" s="95" t="str">
        <x:v>Food Processors</x:v>
      </x:c>
      <x:c r="D226" s="95" t="str">
        <x:v>How-To</x:v>
      </x:c>
      <x:c r="E226" s="95" t="str">
        <x:v>how to clean a food processor</x:v>
      </x:c>
      <x:c r="F226" s="95" t="str">
        <x:v>how to clean a food processor explained; how to clean a food processor guide; how to clean a food processor FAQ; how to clean a food processor tips; how to clean a food processor common mistakes</x:v>
      </x:c>
      <x:c r="G226" s="95" t="str">
        <x:v>Informational</x:v>
      </x:c>
      <x:c r="H226" s="95" t="str">
        <x:v>TOFU/MOFU</x:v>
      </x:c>
      <x:c r="I226" s="95" t="str">
        <x:v>/how-to-clean-a-food-processor/</x:v>
      </x:c>
      <x:c r="J226" s="95" t="str">
        <x:v>FP-HUB</x:v>
      </x:c>
      <x:c r="K226" s="95" t="str"/>
      <x:c r="L226" s="95" t="str"/>
      <x:c r="M226" s="95" t="str">
        <x:v>Validate top 10 results, weak domains, content format, freshness and shopping features before briefing.</x:v>
      </x:c>
      <x:c r="N226" s="95" t="str">
        <x:v>Required for model-specific reviews and roundups</x:v>
      </x:c>
      <x:c r="O226" s="101" t="str">
        <x:v>Not Started</x:v>
      </x:c>
    </x:row>
    <x:row r="227">
      <x:c r="A227" s="100" t="str">
        <x:v>MC-G03</x:v>
      </x:c>
      <x:c r="B227" s="95" t="str">
        <x:v>P4</x:v>
      </x:c>
      <x:c r="C227" s="95" t="str">
        <x:v>Mini Choppers</x:v>
      </x:c>
      <x:c r="D227" s="95" t="str">
        <x:v>How-To</x:v>
      </x:c>
      <x:c r="E227" s="95" t="str">
        <x:v>how to clean a mini chopper</x:v>
      </x:c>
      <x:c r="F227" s="95" t="str">
        <x:v>how to clean a mini chopper explained; how to clean a mini chopper guide; how to clean a mini chopper FAQ; how to clean a mini chopper tips; how to clean a mini chopper common mistakes</x:v>
      </x:c>
      <x:c r="G227" s="95" t="str">
        <x:v>Informational</x:v>
      </x:c>
      <x:c r="H227" s="95" t="str">
        <x:v>TOFU/MOFU</x:v>
      </x:c>
      <x:c r="I227" s="95" t="str">
        <x:v>/how-to-clean-a-mini-chopper/</x:v>
      </x:c>
      <x:c r="J227" s="95" t="str">
        <x:v>MC-HUB</x:v>
      </x:c>
      <x:c r="K227" s="95" t="str"/>
      <x:c r="L227" s="95" t="str"/>
      <x:c r="M227" s="95" t="str">
        <x:v>Validate top 10 results, weak domains, content format, freshness and shopping features before briefing.</x:v>
      </x:c>
      <x:c r="N227" s="95" t="str">
        <x:v>Required for model-specific reviews and roundups</x:v>
      </x:c>
      <x:c r="O227" s="101" t="str">
        <x:v>Not Started</x:v>
      </x:c>
    </x:row>
    <x:row r="228">
      <x:c r="A228" s="100" t="str">
        <x:v>RC-G03</x:v>
      </x:c>
      <x:c r="B228" s="95" t="str">
        <x:v>P4</x:v>
      </x:c>
      <x:c r="C228" s="95" t="str">
        <x:v>Rice Cookers</x:v>
      </x:c>
      <x:c r="D228" s="95" t="str">
        <x:v>How-To</x:v>
      </x:c>
      <x:c r="E228" s="95" t="str">
        <x:v>how to clean a rice cooker</x:v>
      </x:c>
      <x:c r="F228" s="95" t="str">
        <x:v>how to clean a rice cooker explained; how to clean a rice cooker guide; how to clean a rice cooker FAQ; how to clean a rice cooker tips; how to clean a rice cooker common mistakes</x:v>
      </x:c>
      <x:c r="G228" s="95" t="str">
        <x:v>Informational</x:v>
      </x:c>
      <x:c r="H228" s="95" t="str">
        <x:v>TOFU/MOFU</x:v>
      </x:c>
      <x:c r="I228" s="95" t="str">
        <x:v>/how-to-clean-a-rice-cooker/</x:v>
      </x:c>
      <x:c r="J228" s="95" t="str">
        <x:v>RC-HUB</x:v>
      </x:c>
      <x:c r="K228" s="95" t="str"/>
      <x:c r="L228" s="95" t="str"/>
      <x:c r="M228" s="95" t="str">
        <x:v>Validate top 10 results, weak domains, content format, freshness and shopping features before briefing.</x:v>
      </x:c>
      <x:c r="N228" s="95" t="str">
        <x:v>Required for model-specific reviews and roundups</x:v>
      </x:c>
      <x:c r="O228" s="101" t="str">
        <x:v>Not Started</x:v>
      </x:c>
    </x:row>
    <x:row r="229">
      <x:c r="A229" s="102" t="str">
        <x:v>WM-G02</x:v>
      </x:c>
      <x:c r="B229" s="103" t="str">
        <x:v>P4</x:v>
      </x:c>
      <x:c r="C229" s="103" t="str">
        <x:v>Waffle Makers</x:v>
      </x:c>
      <x:c r="D229" s="103" t="str">
        <x:v>How-To</x:v>
      </x:c>
      <x:c r="E229" s="103" t="str">
        <x:v>how to clean a waffle maker</x:v>
      </x:c>
      <x:c r="F229" s="103" t="str">
        <x:v>how to clean a waffle maker explained; how to clean a waffle maker guide; how to clean a waffle maker FAQ; how to clean a waffle maker tips; how to clean a waffle maker common mistakes</x:v>
      </x:c>
      <x:c r="G229" s="103" t="str">
        <x:v>Informational</x:v>
      </x:c>
      <x:c r="H229" s="103" t="str">
        <x:v>TOFU/MOFU</x:v>
      </x:c>
      <x:c r="I229" s="103" t="str">
        <x:v>/how-to-clean-a-waffle-maker/</x:v>
      </x:c>
      <x:c r="J229" s="103" t="str">
        <x:v>WM-HUB</x:v>
      </x:c>
      <x:c r="K229" s="103" t="str"/>
      <x:c r="L229" s="103" t="str"/>
      <x:c r="M229" s="103" t="str">
        <x:v>Validate top 10 results, weak domains, content format, freshness and shopping features before briefing.</x:v>
      </x:c>
      <x:c r="N229" s="103" t="str">
        <x:v>Required for model-specific reviews and roundups</x:v>
      </x:c>
      <x:c r="O229" s="104" t="str">
        <x:v>Not Started</x:v>
      </x:c>
    </x:row>
  </x:sheetData>
  <x:conditionalFormatting sqref="O2:O229">
    <x:cfRule type="expression" dxfId="12" priority="1">
      <x:formula>$O2="Published"</x:formula>
    </x:cfRule>
    <x:cfRule type="expression" dxfId="13" priority="2">
      <x:formula>$O2="Writing"</x:formula>
    </x:cfRule>
    <x:cfRule type="expression" dxfId="14" priority="3">
      <x:formula>$O2="Editing"</x:formula>
    </x:cfRule>
    <x:cfRule type="expression" dxfId="15" priority="4">
      <x:formula>$O2="Blocked"</x:formula>
    </x:cfRule>
  </x:conditionalFormatting>
  <x:dataValidations count="2">
    <x:dataValidation type="list" sqref="B2:B229">
      <x:formula1>"P0,P1,P2,P3,P4"</x:formula1>
    </x:dataValidation>
    <x:dataValidation type="list" sqref="O2:O229">
      <x:formula1>"Not Started,Brief Ready,Writing,Editing,Published,Refreshing,Blocked"</x:formula1>
    </x:dataValidation>
  </x:dataValidations>
  <x:pageMargins left="0.7" right="0.7" top="0.75" bottom="0.75" header="0.3" footer="0.3"/>
  <x:tableParts count="1">
    <x:tablePart xmlns:r="http://schemas.openxmlformats.org/officeDocument/2006/relationships" r:id="R5425e0619b604a77"/>
  </x:tableParts>
</x:worksheet>
</file>

<file path=xl/worksheets/sheet7.xml><?xml version="1.0" encoding="utf-8"?>
<x:worksheet xmlns:x="http://schemas.openxmlformats.org/spreadsheetml/2006/main">
  <x:sheetFormatPr defaultRowHeight="15"/>
  <x:cols>
    <x:col min="1" max="1" width="12" hidden="0" customWidth="1"/>
    <x:col min="2" max="2" width="9" hidden="0" customWidth="1"/>
    <x:col min="3" max="3" width="19" hidden="0" customWidth="1"/>
    <x:col min="4" max="4" width="36" hidden="0" customWidth="1"/>
    <x:col min="5" max="5" width="48" hidden="0" customWidth="1"/>
    <x:col min="6" max="6" width="110" hidden="0" customWidth="1"/>
    <x:col min="7" max="7" width="70" hidden="0" customWidth="1"/>
    <x:col min="8" max="8" width="55" hidden="0" customWidth="1"/>
    <x:col min="9" max="9" width="52" hidden="0" customWidth="1"/>
    <x:col min="10" max="10" width="48" hidden="0" customWidth="1"/>
  </x:cols>
  <x:sheetData>
    <x:row r="1" ht="36" customHeight="1">
      <x:c r="A1" s="81" t="str">
        <x:v>Page ID</x:v>
      </x:c>
      <x:c r="B1" s="81" t="str">
        <x:v>Priority</x:v>
      </x:c>
      <x:c r="C1" s="81" t="str">
        <x:v>Page Type</x:v>
      </x:c>
      <x:c r="D1" s="81" t="str">
        <x:v>Primary Keyword</x:v>
      </x:c>
      <x:c r="E1" s="81" t="str">
        <x:v>H1</x:v>
      </x:c>
      <x:c r="F1" s="81" t="str">
        <x:v>H2 / H3 Content Structure</x:v>
      </x:c>
      <x:c r="G1" s="81" t="str">
        <x:v>Answer-First / LLM Blocks</x:v>
      </x:c>
      <x:c r="H1" s="81" t="str">
        <x:v>Required Tables</x:v>
      </x:c>
      <x:c r="I1" s="81" t="str">
        <x:v>Required CTA Pattern</x:v>
      </x:c>
      <x:c r="J1" s="81" t="str">
        <x:v>FAQ Guidance</x:v>
      </x:c>
    </x:row>
    <x:row r="2">
      <x:c r="A2" s="97" t="str">
        <x:v>AF-HUB</x:v>
      </x:c>
      <x:c r="B2" s="98" t="str">
        <x:v>P1</x:v>
      </x:c>
      <x:c r="C2" s="98" t="str">
        <x:v>Category Hub</x:v>
      </x:c>
      <x:c r="D2" s="98" t="str">
        <x:v>air fryer reviews and buying guides</x:v>
      </x:c>
      <x:c r="E2" s="98" t="str">
        <x:v>Air Fryer Reviews, Comparisons and Buying Guides</x:v>
      </x:c>
      <x:c r="F2" s="98" t="str">
        <x:v>Quick answer: how to choose the right air fryers | Best picks by budget and use case | Browse all best-of roundups | Latest individual reviews | Head-to-head comparisons | Buying guides and troubleshooting | How CounterCrave evaluates products | Frequently asked questions</x:v>
      </x:c>
      <x:c r="G2" s="98" t="str">
        <x:v>40–60 word category summary; decision table; category taxonomy; links to best answers; methodology statement; concise FAQ answers.</x:v>
      </x:c>
      <x:c r="H2" s="98" t="str">
        <x:v>Best-by-use-case navigation table; latest content list</x:v>
      </x:c>
      <x:c r="I2" s="98" t="str">
        <x:v>Internal links first; minimal direct Amazon CTAs</x:v>
      </x:c>
      <x:c r="J2" s="99" t="str">
        <x:v>Use 4–8 visible, non-repetitive questions. Answer each in 40–80 words. Add schema only when valid and useful.</x:v>
      </x:c>
    </x:row>
    <x:row r="3">
      <x:c r="A3" s="100" t="str">
        <x:v>BL-HUB</x:v>
      </x:c>
      <x:c r="B3" s="95" t="str">
        <x:v>P1</x:v>
      </x:c>
      <x:c r="C3" s="95" t="str">
        <x:v>Category Hub</x:v>
      </x:c>
      <x:c r="D3" s="95" t="str">
        <x:v>blender reviews and buying guides</x:v>
      </x:c>
      <x:c r="E3" s="95" t="str">
        <x:v>Blender Reviews, Comparisons and Buying Guides</x:v>
      </x:c>
      <x:c r="F3" s="95" t="str">
        <x:v>Quick answer: how to choose the right blenders | Best picks by budget and use case | Browse all best-of roundups | Latest individual reviews | Head-to-head comparisons | Buying guides and troubleshooting | How CounterCrave evaluates products | Frequently asked questions</x:v>
      </x:c>
      <x:c r="G3" s="95" t="str">
        <x:v>40–60 word category summary; decision table; category taxonomy; links to best answers; methodology statement; concise FAQ answers.</x:v>
      </x:c>
      <x:c r="H3" s="95" t="str">
        <x:v>Best-by-use-case navigation table; latest content list</x:v>
      </x:c>
      <x:c r="I3" s="95" t="str">
        <x:v>Internal links first; minimal direct Amazon CTAs</x:v>
      </x:c>
      <x:c r="J3" s="101" t="str">
        <x:v>Use 4–8 visible, non-repetitive questions. Answer each in 40–80 words. Add schema only when valid and useful.</x:v>
      </x:c>
    </x:row>
    <x:row r="4">
      <x:c r="A4" s="100" t="str">
        <x:v>AF-PIL</x:v>
      </x:c>
      <x:c r="B4" s="95" t="str">
        <x:v>P1</x:v>
      </x:c>
      <x:c r="C4" s="95" t="str">
        <x:v>Commercial Pillar</x:v>
      </x:c>
      <x:c r="D4" s="95" t="str">
        <x:v>best air fryers</x:v>
      </x:c>
      <x:c r="E4" s="95" t="str">
        <x:v>Best Air Fryers for Every Kitchen and Budget</x:v>
      </x:c>
      <x:c r="F4"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4" s="95" t="str">
        <x:v>Answer-first verdict; top-three table; measurable selection criteria; each pick has buy-if/skip-if; clear alternatives; short fact-based FAQs.</x:v>
      </x:c>
      <x:c r="H4" s="95" t="str">
        <x:v>Top picks table; full comparison table; selection criteria table; optional size/value decision table</x:v>
      </x:c>
      <x:c r="I4" s="95" t="str">
        <x:v>Disclosure → Check price on Amazon; contextual CTA after verdict; alternatives link</x:v>
      </x:c>
      <x:c r="J4" s="101" t="str">
        <x:v>Use 4–8 visible, non-repetitive questions. Answer each in 40–80 words. Add schema only when valid and useful.</x:v>
      </x:c>
    </x:row>
    <x:row r="5">
      <x:c r="A5" s="100" t="str">
        <x:v>BL-PIL</x:v>
      </x:c>
      <x:c r="B5" s="95" t="str">
        <x:v>P1</x:v>
      </x:c>
      <x:c r="C5" s="95" t="str">
        <x:v>Commercial Pillar</x:v>
      </x:c>
      <x:c r="D5" s="95" t="str">
        <x:v>best blenders</x:v>
      </x:c>
      <x:c r="E5" s="95" t="str">
        <x:v>Best Blenders for Smoothies, Ice and Everyday Use</x:v>
      </x:c>
      <x:c r="F5"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5" s="95" t="str">
        <x:v>Answer-first verdict; top-three table; measurable selection criteria; each pick has buy-if/skip-if; clear alternatives; short fact-based FAQs.</x:v>
      </x:c>
      <x:c r="H5" s="95" t="str">
        <x:v>Top picks table; full comparison table; selection criteria table; optional size/value decision table</x:v>
      </x:c>
      <x:c r="I5" s="95" t="str">
        <x:v>Disclosure → Check price on Amazon; contextual CTA after verdict; alternatives link</x:v>
      </x:c>
      <x:c r="J5" s="101" t="str">
        <x:v>Use 4–8 visible, non-repetitive questions. Answer each in 40–80 words. Add schema only when valid and useful.</x:v>
      </x:c>
    </x:row>
    <x:row r="6">
      <x:c r="A6" s="100" t="str">
        <x:v>AF-R01</x:v>
      </x:c>
      <x:c r="B6" s="95" t="str">
        <x:v>P1</x:v>
      </x:c>
      <x:c r="C6" s="95" t="str">
        <x:v>Roundup</x:v>
      </x:c>
      <x:c r="D6" s="95" t="str">
        <x:v>best air fryer under $100</x:v>
      </x:c>
      <x:c r="E6" s="95" t="str">
        <x:v>Best Air Fryers Under $100</x:v>
      </x:c>
      <x:c r="F6" s="95" t="str">
        <x:v>Quick picks | Comparison table | How we chose these products | Best overall option for best air fryer under $100 | Best budget option | Best premium option | Other strong options by use case | Detailed product evaluations | How to choose | Common buying mistakes | Frequently asked questions</x:v>
      </x:c>
      <x:c r="G6" s="95" t="str">
        <x:v>50-word direct answer; ranked list; decision matrix; explicit selection logic; pros/cons; audience fit; concise FAQ answers.</x:v>
      </x:c>
      <x:c r="H6" s="95" t="str">
        <x:v>Top picks table; full comparison table; selection criteria table; optional size/value decision table</x:v>
      </x:c>
      <x:c r="I6" s="95" t="str">
        <x:v>Disclosure → Check price on Amazon; contextual CTA after verdict; alternatives link</x:v>
      </x:c>
      <x:c r="J6" s="101" t="str">
        <x:v>Use 4–8 visible, non-repetitive questions. Answer each in 40–80 words. Add schema only when valid and useful.</x:v>
      </x:c>
    </x:row>
    <x:row r="7">
      <x:c r="A7" s="100" t="str">
        <x:v>AF-R02</x:v>
      </x:c>
      <x:c r="B7" s="95" t="str">
        <x:v>P1</x:v>
      </x:c>
      <x:c r="C7" s="95" t="str">
        <x:v>Roundup</x:v>
      </x:c>
      <x:c r="D7" s="95" t="str">
        <x:v>best air fryer under $150</x:v>
      </x:c>
      <x:c r="E7" s="95" t="str">
        <x:v>Best Air Fryers Under $150</x:v>
      </x:c>
      <x:c r="F7" s="95" t="str">
        <x:v>Quick picks | Comparison table | How we chose these products | Best overall option for best air fryer under $150 | Best budget option | Best premium option | Other strong options by use case | Detailed product evaluations | How to choose | Common buying mistakes | Frequently asked questions</x:v>
      </x:c>
      <x:c r="G7" s="95" t="str">
        <x:v>50-word direct answer; ranked list; decision matrix; explicit selection logic; pros/cons; audience fit; concise FAQ answers.</x:v>
      </x:c>
      <x:c r="H7" s="95" t="str">
        <x:v>Top picks table; full comparison table; selection criteria table; optional size/value decision table</x:v>
      </x:c>
      <x:c r="I7" s="95" t="str">
        <x:v>Disclosure → Check price on Amazon; contextual CTA after verdict; alternatives link</x:v>
      </x:c>
      <x:c r="J7" s="101" t="str">
        <x:v>Use 4–8 visible, non-repetitive questions. Answer each in 40–80 words. Add schema only when valid and useful.</x:v>
      </x:c>
    </x:row>
    <x:row r="8">
      <x:c r="A8" s="100" t="str">
        <x:v>AF-R03</x:v>
      </x:c>
      <x:c r="B8" s="95" t="str">
        <x:v>P1</x:v>
      </x:c>
      <x:c r="C8" s="95" t="str">
        <x:v>Roundup</x:v>
      </x:c>
      <x:c r="D8" s="95" t="str">
        <x:v>best air fryer for one person</x:v>
      </x:c>
      <x:c r="E8" s="95" t="str">
        <x:v>Best Air Fryer for One Person</x:v>
      </x:c>
      <x:c r="F8" s="95" t="str">
        <x:v>Quick picks | Comparison table | How we chose these products | Best overall option for best air fryer for one person | Best budget option | Best premium option | Other strong options by use case | Detailed product evaluations | How to choose | Common buying mistakes | Frequently asked questions</x:v>
      </x:c>
      <x:c r="G8" s="95" t="str">
        <x:v>50-word direct answer; ranked list; decision matrix; explicit selection logic; pros/cons; audience fit; concise FAQ answers.</x:v>
      </x:c>
      <x:c r="H8" s="95" t="str">
        <x:v>Top picks table; full comparison table; selection criteria table; optional size/value decision table</x:v>
      </x:c>
      <x:c r="I8" s="95" t="str">
        <x:v>Disclosure → Check price on Amazon; contextual CTA after verdict; alternatives link</x:v>
      </x:c>
      <x:c r="J8" s="101" t="str">
        <x:v>Use 4–8 visible, non-repetitive questions. Answer each in 40–80 words. Add schema only when valid and useful.</x:v>
      </x:c>
    </x:row>
    <x:row r="9">
      <x:c r="A9" s="100" t="str">
        <x:v>AF-R04</x:v>
      </x:c>
      <x:c r="B9" s="95" t="str">
        <x:v>P1</x:v>
      </x:c>
      <x:c r="C9" s="95" t="str">
        <x:v>Roundup</x:v>
      </x:c>
      <x:c r="D9" s="95" t="str">
        <x:v>best air fryer for 2 people</x:v>
      </x:c>
      <x:c r="E9" s="95" t="str">
        <x:v>Best Air Fryer for 2 People</x:v>
      </x:c>
      <x:c r="F9" s="95" t="str">
        <x:v>Quick picks | Comparison table | How we chose these products | Best overall option for best air fryer for 2 people | Best budget option | Best premium option | Other strong options by use case | Detailed product evaluations | How to choose | Common buying mistakes | Frequently asked questions</x:v>
      </x:c>
      <x:c r="G9" s="95" t="str">
        <x:v>50-word direct answer; ranked list; decision matrix; explicit selection logic; pros/cons; audience fit; concise FAQ answers.</x:v>
      </x:c>
      <x:c r="H9" s="95" t="str">
        <x:v>Top picks table; full comparison table; selection criteria table; optional size/value decision table</x:v>
      </x:c>
      <x:c r="I9" s="95" t="str">
        <x:v>Disclosure → Check price on Amazon; contextual CTA after verdict; alternatives link</x:v>
      </x:c>
      <x:c r="J9" s="101" t="str">
        <x:v>Use 4–8 visible, non-repetitive questions. Answer each in 40–80 words. Add schema only when valid and useful.</x:v>
      </x:c>
    </x:row>
    <x:row r="10">
      <x:c r="A10" s="100" t="str">
        <x:v>AF-R05</x:v>
      </x:c>
      <x:c r="B10" s="95" t="str">
        <x:v>P1</x:v>
      </x:c>
      <x:c r="C10" s="95" t="str">
        <x:v>Roundup</x:v>
      </x:c>
      <x:c r="D10" s="95" t="str">
        <x:v>best air fryer for family of 4</x:v>
      </x:c>
      <x:c r="E10" s="95" t="str">
        <x:v>Best Air Fryer for a Family of 4</x:v>
      </x:c>
      <x:c r="F10" s="95" t="str">
        <x:v>Quick picks | Comparison table | How we chose these products | Best overall option for best air fryer for family of 4 | Best budget option | Best premium option | Other strong options by use case | Detailed product evaluations | How to choose | Common buying mistakes | Frequently asked questions</x:v>
      </x:c>
      <x:c r="G10" s="95" t="str">
        <x:v>50-word direct answer; ranked list; decision matrix; explicit selection logic; pros/cons; audience fit; concise FAQ answers.</x:v>
      </x:c>
      <x:c r="H10" s="95" t="str">
        <x:v>Top picks table; full comparison table; selection criteria table; optional size/value decision table</x:v>
      </x:c>
      <x:c r="I10" s="95" t="str">
        <x:v>Disclosure → Check price on Amazon; contextual CTA after verdict; alternatives link</x:v>
      </x:c>
      <x:c r="J10" s="101" t="str">
        <x:v>Use 4–8 visible, non-repetitive questions. Answer each in 40–80 words. Add schema only when valid and useful.</x:v>
      </x:c>
    </x:row>
    <x:row r="11">
      <x:c r="A11" s="100" t="str">
        <x:v>AF-R06</x:v>
      </x:c>
      <x:c r="B11" s="95" t="str">
        <x:v>P1</x:v>
      </x:c>
      <x:c r="C11" s="95" t="str">
        <x:v>Roundup</x:v>
      </x:c>
      <x:c r="D11" s="95" t="str">
        <x:v>best large air fryer for family</x:v>
      </x:c>
      <x:c r="E11" s="95" t="str">
        <x:v>Best Large Air Fryers for Big Families</x:v>
      </x:c>
      <x:c r="F11" s="95" t="str">
        <x:v>Quick picks | Comparison table | How we chose these products | Best overall option for best large air fryer for family | Best budget option | Best premium option | Other strong options by use case | Detailed product evaluations | How to choose | Common buying mistakes | Frequently asked questions</x:v>
      </x:c>
      <x:c r="G11" s="95" t="str">
        <x:v>50-word direct answer; ranked list; decision matrix; explicit selection logic; pros/cons; audience fit; concise FAQ answers.</x:v>
      </x:c>
      <x:c r="H11" s="95" t="str">
        <x:v>Top picks table; full comparison table; selection criteria table; optional size/value decision table</x:v>
      </x:c>
      <x:c r="I11" s="95" t="str">
        <x:v>Disclosure → Check price on Amazon; contextual CTA after verdict; alternatives link</x:v>
      </x:c>
      <x:c r="J11" s="101" t="str">
        <x:v>Use 4–8 visible, non-repetitive questions. Answer each in 40–80 words. Add schema only when valid and useful.</x:v>
      </x:c>
    </x:row>
    <x:row r="12">
      <x:c r="A12" s="100" t="str">
        <x:v>AF-R07</x:v>
      </x:c>
      <x:c r="B12" s="95" t="str">
        <x:v>P1</x:v>
      </x:c>
      <x:c r="C12" s="95" t="str">
        <x:v>Roundup</x:v>
      </x:c>
      <x:c r="D12" s="95" t="str">
        <x:v>best compact air fryer</x:v>
      </x:c>
      <x:c r="E12" s="95" t="str">
        <x:v>Best Compact Air Fryers for Small Kitchens</x:v>
      </x:c>
      <x:c r="F12" s="95" t="str">
        <x:v>Quick picks | Comparison table | How we chose these products | Best overall option for best compact air fryer | Best budget option | Best premium option | Other strong options by use case | Detailed product evaluations | How to choose | Common buying mistakes | Frequently asked questions</x:v>
      </x:c>
      <x:c r="G12" s="95" t="str">
        <x:v>50-word direct answer; ranked list; decision matrix; explicit selection logic; pros/cons; audience fit; concise FAQ answers.</x:v>
      </x:c>
      <x:c r="H12" s="95" t="str">
        <x:v>Top picks table; full comparison table; selection criteria table; optional size/value decision table</x:v>
      </x:c>
      <x:c r="I12" s="95" t="str">
        <x:v>Disclosure → Check price on Amazon; contextual CTA after verdict; alternatives link</x:v>
      </x:c>
      <x:c r="J12" s="101" t="str">
        <x:v>Use 4–8 visible, non-repetitive questions. Answer each in 40–80 words. Add schema only when valid and useful.</x:v>
      </x:c>
    </x:row>
    <x:row r="13">
      <x:c r="A13" s="100" t="str">
        <x:v>AF-R11</x:v>
      </x:c>
      <x:c r="B13" s="95" t="str">
        <x:v>P1</x:v>
      </x:c>
      <x:c r="C13" s="95" t="str">
        <x:v>Roundup</x:v>
      </x:c>
      <x:c r="D13" s="95" t="str">
        <x:v>best dual basket air fryer</x:v>
      </x:c>
      <x:c r="E13" s="95" t="str">
        <x:v>Best Dual-Basket Air Fryers</x:v>
      </x:c>
      <x:c r="F13" s="95" t="str">
        <x:v>Quick picks | Comparison table | How we chose these products | Best overall option for best dual basket air fryer | Best budget option | Best premium option | Other strong options by use case | Detailed product evaluations | How to choose | Common buying mistakes | Frequently asked questions</x:v>
      </x:c>
      <x:c r="G13" s="95" t="str">
        <x:v>50-word direct answer; ranked list; decision matrix; explicit selection logic; pros/cons; audience fit; concise FAQ answers.</x:v>
      </x:c>
      <x:c r="H13" s="95" t="str">
        <x:v>Top picks table; full comparison table; selection criteria table; optional size/value decision table</x:v>
      </x:c>
      <x:c r="I13" s="95" t="str">
        <x:v>Disclosure → Check price on Amazon; contextual CTA after verdict; alternatives link</x:v>
      </x:c>
      <x:c r="J13" s="101" t="str">
        <x:v>Use 4–8 visible, non-repetitive questions. Answer each in 40–80 words. Add schema only when valid and useful.</x:v>
      </x:c>
    </x:row>
    <x:row r="14">
      <x:c r="A14" s="100" t="str">
        <x:v>AF-R12</x:v>
      </x:c>
      <x:c r="B14" s="95" t="str">
        <x:v>P1</x:v>
      </x:c>
      <x:c r="C14" s="95" t="str">
        <x:v>Roundup</x:v>
      </x:c>
      <x:c r="D14" s="95" t="str">
        <x:v>best air fryer toaster oven combo</x:v>
      </x:c>
      <x:c r="E14" s="95" t="str">
        <x:v>Best Air Fryer Toaster Oven Combos</x:v>
      </x:c>
      <x:c r="F14" s="95" t="str">
        <x:v>Quick picks | Comparison table | How we chose these products | Best overall option for best air fryer toaster oven combo | Best budget option | Best premium option | Other strong options by use case | Detailed product evaluations | How to choose | Common buying mistakes | Frequently asked questions</x:v>
      </x:c>
      <x:c r="G14" s="95" t="str">
        <x:v>50-word direct answer; ranked list; decision matrix; explicit selection logic; pros/cons; audience fit; concise FAQ answers.</x:v>
      </x:c>
      <x:c r="H14" s="95" t="str">
        <x:v>Top picks table; full comparison table; selection criteria table; optional size/value decision table</x:v>
      </x:c>
      <x:c r="I14" s="95" t="str">
        <x:v>Disclosure → Check price on Amazon; contextual CTA after verdict; alternatives link</x:v>
      </x:c>
      <x:c r="J14" s="101" t="str">
        <x:v>Use 4–8 visible, non-repetitive questions. Answer each in 40–80 words. Add schema only when valid and useful.</x:v>
      </x:c>
    </x:row>
    <x:row r="15">
      <x:c r="A15" s="100" t="str">
        <x:v>BL-R01</x:v>
      </x:c>
      <x:c r="B15" s="95" t="str">
        <x:v>P1</x:v>
      </x:c>
      <x:c r="C15" s="95" t="str">
        <x:v>Roundup</x:v>
      </x:c>
      <x:c r="D15" s="95" t="str">
        <x:v>best blender under $100</x:v>
      </x:c>
      <x:c r="E15" s="95" t="str">
        <x:v>Best Blenders Under $100</x:v>
      </x:c>
      <x:c r="F15" s="95" t="str">
        <x:v>Quick picks | Comparison table | How we chose these products | Best overall option for best blender under $100 | Best budget option | Best premium option | Other strong options by use case | Detailed product evaluations | How to choose | Common buying mistakes | Frequently asked questions</x:v>
      </x:c>
      <x:c r="G15" s="95" t="str">
        <x:v>50-word direct answer; ranked list; decision matrix; explicit selection logic; pros/cons; audience fit; concise FAQ answers.</x:v>
      </x:c>
      <x:c r="H15" s="95" t="str">
        <x:v>Top picks table; full comparison table; selection criteria table; optional size/value decision table</x:v>
      </x:c>
      <x:c r="I15" s="95" t="str">
        <x:v>Disclosure → Check price on Amazon; contextual CTA after verdict; alternatives link</x:v>
      </x:c>
      <x:c r="J15" s="101" t="str">
        <x:v>Use 4–8 visible, non-repetitive questions. Answer each in 40–80 words. Add schema only when valid and useful.</x:v>
      </x:c>
    </x:row>
    <x:row r="16">
      <x:c r="A16" s="100" t="str">
        <x:v>BL-R03</x:v>
      </x:c>
      <x:c r="B16" s="95" t="str">
        <x:v>P1</x:v>
      </x:c>
      <x:c r="C16" s="95" t="str">
        <x:v>Roundup</x:v>
      </x:c>
      <x:c r="D16" s="95" t="str">
        <x:v>best personal blender</x:v>
      </x:c>
      <x:c r="E16" s="95" t="str">
        <x:v>Best Personal Blenders</x:v>
      </x:c>
      <x:c r="F16" s="95" t="str">
        <x:v>Quick picks | Comparison table | How we chose these products | Best overall option for best personal blender | Best budget option | Best premium option | Other strong options by use case | Detailed product evaluations | How to choose | Common buying mistakes | Frequently asked questions</x:v>
      </x:c>
      <x:c r="G16" s="95" t="str">
        <x:v>50-word direct answer; ranked list; decision matrix; explicit selection logic; pros/cons; audience fit; concise FAQ answers.</x:v>
      </x:c>
      <x:c r="H16" s="95" t="str">
        <x:v>Top picks table; full comparison table; selection criteria table; optional size/value decision table</x:v>
      </x:c>
      <x:c r="I16" s="95" t="str">
        <x:v>Disclosure → Check price on Amazon; contextual CTA after verdict; alternatives link</x:v>
      </x:c>
      <x:c r="J16" s="101" t="str">
        <x:v>Use 4–8 visible, non-repetitive questions. Answer each in 40–80 words. Add schema only when valid and useful.</x:v>
      </x:c>
    </x:row>
    <x:row r="17">
      <x:c r="A17" s="100" t="str">
        <x:v>BL-R04</x:v>
      </x:c>
      <x:c r="B17" s="95" t="str">
        <x:v>P1</x:v>
      </x:c>
      <x:c r="C17" s="95" t="str">
        <x:v>Roundup</x:v>
      </x:c>
      <x:c r="D17" s="95" t="str">
        <x:v>best blender for smoothies</x:v>
      </x:c>
      <x:c r="E17" s="95" t="str">
        <x:v>Best Blenders for Smoothies</x:v>
      </x:c>
      <x:c r="F17" s="95" t="str">
        <x:v>Quick picks | Comparison table | How we chose these products | Best overall option for best blender for smoothies | Best budget option | Best premium option | Other strong options by use case | Detailed product evaluations | How to choose | Common buying mistakes | Frequently asked questions</x:v>
      </x:c>
      <x:c r="G17" s="95" t="str">
        <x:v>50-word direct answer; ranked list; decision matrix; explicit selection logic; pros/cons; audience fit; concise FAQ answers.</x:v>
      </x:c>
      <x:c r="H17" s="95" t="str">
        <x:v>Top picks table; full comparison table; selection criteria table; optional size/value decision table</x:v>
      </x:c>
      <x:c r="I17" s="95" t="str">
        <x:v>Disclosure → Check price on Amazon; contextual CTA after verdict; alternatives link</x:v>
      </x:c>
      <x:c r="J17" s="101" t="str">
        <x:v>Use 4–8 visible, non-repetitive questions. Answer each in 40–80 words. Add schema only when valid and useful.</x:v>
      </x:c>
    </x:row>
    <x:row r="18">
      <x:c r="A18" s="100" t="str">
        <x:v>BL-R05</x:v>
      </x:c>
      <x:c r="B18" s="95" t="str">
        <x:v>P1</x:v>
      </x:c>
      <x:c r="C18" s="95" t="str">
        <x:v>Roundup</x:v>
      </x:c>
      <x:c r="D18" s="95" t="str">
        <x:v>best blender for frozen fruit</x:v>
      </x:c>
      <x:c r="E18" s="95" t="str">
        <x:v>Best Blenders for Frozen Fruit</x:v>
      </x:c>
      <x:c r="F18" s="95" t="str">
        <x:v>Quick picks | Comparison table | How we chose these products | Best overall option for best blender for frozen fruit | Best budget option | Best premium option | Other strong options by use case | Detailed product evaluations | How to choose | Common buying mistakes | Frequently asked questions</x:v>
      </x:c>
      <x:c r="G18" s="95" t="str">
        <x:v>50-word direct answer; ranked list; decision matrix; explicit selection logic; pros/cons; audience fit; concise FAQ answers.</x:v>
      </x:c>
      <x:c r="H18" s="95" t="str">
        <x:v>Top picks table; full comparison table; selection criteria table; optional size/value decision table</x:v>
      </x:c>
      <x:c r="I18" s="95" t="str">
        <x:v>Disclosure → Check price on Amazon; contextual CTA after verdict; alternatives link</x:v>
      </x:c>
      <x:c r="J18" s="101" t="str">
        <x:v>Use 4–8 visible, non-repetitive questions. Answer each in 40–80 words. Add schema only when valid and useful.</x:v>
      </x:c>
    </x:row>
    <x:row r="19">
      <x:c r="A19" s="100" t="str">
        <x:v>BL-R06</x:v>
      </x:c>
      <x:c r="B19" s="95" t="str">
        <x:v>P1</x:v>
      </x:c>
      <x:c r="C19" s="95" t="str">
        <x:v>Roundup</x:v>
      </x:c>
      <x:c r="D19" s="95" t="str">
        <x:v>best blender for crushing ice</x:v>
      </x:c>
      <x:c r="E19" s="95" t="str">
        <x:v>Best Blenders for Crushing Ice</x:v>
      </x:c>
      <x:c r="F19" s="95" t="str">
        <x:v>Quick picks | Comparison table | How we chose these products | Best overall option for best blender for crushing ice | Best budget option | Best premium option | Other strong options by use case | Detailed product evaluations | How to choose | Common buying mistakes | Frequently asked questions</x:v>
      </x:c>
      <x:c r="G19" s="95" t="str">
        <x:v>50-word direct answer; ranked list; decision matrix; explicit selection logic; pros/cons; audience fit; concise FAQ answers.</x:v>
      </x:c>
      <x:c r="H19" s="95" t="str">
        <x:v>Top picks table; full comparison table; selection criteria table; optional size/value decision table</x:v>
      </x:c>
      <x:c r="I19" s="95" t="str">
        <x:v>Disclosure → Check price on Amazon; contextual CTA after verdict; alternatives link</x:v>
      </x:c>
      <x:c r="J19" s="101" t="str">
        <x:v>Use 4–8 visible, non-repetitive questions. Answer each in 40–80 words. Add schema only when valid and useful.</x:v>
      </x:c>
    </x:row>
    <x:row r="20">
      <x:c r="A20" s="100" t="str">
        <x:v>AF-C01</x:v>
      </x:c>
      <x:c r="B20" s="95" t="str">
        <x:v>P1</x:v>
      </x:c>
      <x:c r="C20" s="95" t="str">
        <x:v>Comparison</x:v>
      </x:c>
      <x:c r="D20" s="95" t="str">
        <x:v>ninja vs cosori air fryer</x:v>
      </x:c>
      <x:c r="E20" s="95" t="str">
        <x:v>Ninja vs Cosori Air Fryer</x:v>
      </x:c>
      <x:c r="F20"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 s="95" t="str">
        <x:v>Direct winner by use case; structured difference table; category-by-category winners; no forced single winner; concise decision summary.</x:v>
      </x:c>
      <x:c r="H20" s="95" t="str">
        <x:v>At-a-glance comparison; category winners; specifications</x:v>
      </x:c>
      <x:c r="I20" s="95" t="str">
        <x:v>Separate clearly labelled CTA for each product; do not bias without evidence</x:v>
      </x:c>
      <x:c r="J20" s="101" t="str">
        <x:v>Use 4–8 visible, non-repetitive questions. Answer each in 40–80 words. Add schema only when valid and useful.</x:v>
      </x:c>
    </x:row>
    <x:row r="21">
      <x:c r="A21" s="100" t="str">
        <x:v>AF-C03</x:v>
      </x:c>
      <x:c r="B21" s="95" t="str">
        <x:v>P1</x:v>
      </x:c>
      <x:c r="C21" s="95" t="str">
        <x:v>Comparison</x:v>
      </x:c>
      <x:c r="D21" s="95" t="str">
        <x:v>basket air fryer vs oven air fryer</x:v>
      </x:c>
      <x:c r="E21" s="95" t="str">
        <x:v>Basket Air Fryer vs Oven Air Fryer</x:v>
      </x:c>
      <x:c r="F21"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1" s="95" t="str">
        <x:v>Direct winner by use case; structured difference table; category-by-category winners; no forced single winner; concise decision summary.</x:v>
      </x:c>
      <x:c r="H21" s="95" t="str">
        <x:v>At-a-glance comparison; category winners; specifications</x:v>
      </x:c>
      <x:c r="I21" s="95" t="str">
        <x:v>Separate clearly labelled CTA for each product; do not bias without evidence</x:v>
      </x:c>
      <x:c r="J21" s="101" t="str">
        <x:v>Use 4–8 visible, non-repetitive questions. Answer each in 40–80 words. Add schema only when valid and useful.</x:v>
      </x:c>
    </x:row>
    <x:row r="22">
      <x:c r="A22" s="100" t="str">
        <x:v>BL-C01</x:v>
      </x:c>
      <x:c r="B22" s="95" t="str">
        <x:v>P1</x:v>
      </x:c>
      <x:c r="C22" s="95" t="str">
        <x:v>Comparison</x:v>
      </x:c>
      <x:c r="D22" s="95" t="str">
        <x:v>vitamix vs ninja blender</x:v>
      </x:c>
      <x:c r="E22" s="95" t="str">
        <x:v>Vitamix vs Ninja Blender</x:v>
      </x:c>
      <x:c r="F22"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2" s="95" t="str">
        <x:v>Direct winner by use case; structured difference table; category-by-category winners; no forced single winner; concise decision summary.</x:v>
      </x:c>
      <x:c r="H22" s="95" t="str">
        <x:v>At-a-glance comparison; category winners; specifications</x:v>
      </x:c>
      <x:c r="I22" s="95" t="str">
        <x:v>Separate clearly labelled CTA for each product; do not bias without evidence</x:v>
      </x:c>
      <x:c r="J22" s="101" t="str">
        <x:v>Use 4–8 visible, non-repetitive questions. Answer each in 40–80 words. Add schema only when valid and useful.</x:v>
      </x:c>
    </x:row>
    <x:row r="23">
      <x:c r="A23" s="100" t="str">
        <x:v>BL-C02</x:v>
      </x:c>
      <x:c r="B23" s="95" t="str">
        <x:v>P1</x:v>
      </x:c>
      <x:c r="C23" s="95" t="str">
        <x:v>Comparison</x:v>
      </x:c>
      <x:c r="D23" s="95" t="str">
        <x:v>ninja vs nutribullet</x:v>
      </x:c>
      <x:c r="E23" s="95" t="str">
        <x:v>Ninja vs NutriBullet Blender</x:v>
      </x:c>
      <x:c r="F23"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3" s="95" t="str">
        <x:v>Direct winner by use case; structured difference table; category-by-category winners; no forced single winner; concise decision summary.</x:v>
      </x:c>
      <x:c r="H23" s="95" t="str">
        <x:v>At-a-glance comparison; category winners; specifications</x:v>
      </x:c>
      <x:c r="I23" s="95" t="str">
        <x:v>Separate clearly labelled CTA for each product; do not bias without evidence</x:v>
      </x:c>
      <x:c r="J23" s="101" t="str">
        <x:v>Use 4–8 visible, non-repetitive questions. Answer each in 40–80 words. Add schema only when valid and useful.</x:v>
      </x:c>
    </x:row>
    <x:row r="24">
      <x:c r="A24" s="100" t="str">
        <x:v>BL-C06</x:v>
      </x:c>
      <x:c r="B24" s="95" t="str">
        <x:v>P1</x:v>
      </x:c>
      <x:c r="C24" s="95" t="str">
        <x:v>Comparison</x:v>
      </x:c>
      <x:c r="D24" s="95" t="str">
        <x:v>blender vs food processor</x:v>
      </x:c>
      <x:c r="E24" s="95" t="str">
        <x:v>Blender vs Food Processor</x:v>
      </x:c>
      <x:c r="F24"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4" s="95" t="str">
        <x:v>Direct winner by use case; structured difference table; category-by-category winners; no forced single winner; concise decision summary.</x:v>
      </x:c>
      <x:c r="H24" s="95" t="str">
        <x:v>At-a-glance comparison; category winners; specifications</x:v>
      </x:c>
      <x:c r="I24" s="95" t="str">
        <x:v>Separate clearly labelled CTA for each product; do not bias without evidence</x:v>
      </x:c>
      <x:c r="J24" s="101" t="str">
        <x:v>Use 4–8 visible, non-repetitive questions. Answer each in 40–80 words. Add schema only when valid and useful.</x:v>
      </x:c>
    </x:row>
    <x:row r="25">
      <x:c r="A25" s="100" t="str">
        <x:v>AF-V01</x:v>
      </x:c>
      <x:c r="B25" s="95" t="str">
        <x:v>P1</x:v>
      </x:c>
      <x:c r="C25" s="95" t="str">
        <x:v>Single Review</x:v>
      </x:c>
      <x:c r="D25" s="95" t="str">
        <x:v>ninja air fryer pro review</x:v>
      </x:c>
      <x:c r="E25" s="95" t="str">
        <x:v>Ninja Air Fryer Pro Review</x:v>
      </x:c>
      <x:c r="F25"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5" s="95" t="str">
        <x:v>One-paragraph verdict; scorecard with measurable criteria; evidence notes; pros/cons; alternatives; buy-if/skip-if; dated review update.</x:v>
      </x:c>
      <x:c r="H25" s="95" t="str">
        <x:v>Specs; scorecard; pros/cons; alternatives comparison</x:v>
      </x:c>
      <x:c r="I25" s="95" t="str">
        <x:v>Primary product CTA after verdict and value section; alternatives each get separate CTA</x:v>
      </x:c>
      <x:c r="J25" s="101" t="str">
        <x:v>Use 4–8 visible, non-repetitive questions. Answer each in 40–80 words. Add schema only when valid and useful.</x:v>
      </x:c>
    </x:row>
    <x:row r="26">
      <x:c r="A26" s="100" t="str">
        <x:v>AF-V02</x:v>
      </x:c>
      <x:c r="B26" s="95" t="str">
        <x:v>P1</x:v>
      </x:c>
      <x:c r="C26" s="95" t="str">
        <x:v>Single Review</x:v>
      </x:c>
      <x:c r="D26" s="95" t="str">
        <x:v>cosori turboblaze air fryer review</x:v>
      </x:c>
      <x:c r="E26" s="95" t="str">
        <x:v>Cosori TurboBlaze Air Fryer Review</x:v>
      </x:c>
      <x:c r="F26"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6" s="95" t="str">
        <x:v>One-paragraph verdict; scorecard with measurable criteria; evidence notes; pros/cons; alternatives; buy-if/skip-if; dated review update.</x:v>
      </x:c>
      <x:c r="H26" s="95" t="str">
        <x:v>Specs; scorecard; pros/cons; alternatives comparison</x:v>
      </x:c>
      <x:c r="I26" s="95" t="str">
        <x:v>Primary product CTA after verdict and value section; alternatives each get separate CTA</x:v>
      </x:c>
      <x:c r="J26" s="101" t="str">
        <x:v>Use 4–8 visible, non-repetitive questions. Answer each in 40–80 words. Add schema only when valid and useful.</x:v>
      </x:c>
    </x:row>
    <x:row r="27">
      <x:c r="A27" s="100" t="str">
        <x:v>BL-V01</x:v>
      </x:c>
      <x:c r="B27" s="95" t="str">
        <x:v>P1</x:v>
      </x:c>
      <x:c r="C27" s="95" t="str">
        <x:v>Single Review</x:v>
      </x:c>
      <x:c r="D27" s="95" t="str">
        <x:v>ninja detect power blender pro review</x:v>
      </x:c>
      <x:c r="E27" s="95" t="str">
        <x:v>Ninja Detect Power Blender Pro Review</x:v>
      </x:c>
      <x:c r="F27"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7" s="95" t="str">
        <x:v>One-paragraph verdict; scorecard with measurable criteria; evidence notes; pros/cons; alternatives; buy-if/skip-if; dated review update.</x:v>
      </x:c>
      <x:c r="H27" s="95" t="str">
        <x:v>Specs; scorecard; pros/cons; alternatives comparison</x:v>
      </x:c>
      <x:c r="I27" s="95" t="str">
        <x:v>Primary product CTA after verdict and value section; alternatives each get separate CTA</x:v>
      </x:c>
      <x:c r="J27" s="101" t="str">
        <x:v>Use 4–8 visible, non-repetitive questions. Answer each in 40–80 words. Add schema only when valid and useful.</x:v>
      </x:c>
    </x:row>
    <x:row r="28">
      <x:c r="A28" s="100" t="str">
        <x:v>BL-V02</x:v>
      </x:c>
      <x:c r="B28" s="95" t="str">
        <x:v>P1</x:v>
      </x:c>
      <x:c r="C28" s="95" t="str">
        <x:v>Single Review</x:v>
      </x:c>
      <x:c r="D28" s="95" t="str">
        <x:v>nutribullet pro 900 review</x:v>
      </x:c>
      <x:c r="E28" s="95" t="str">
        <x:v>NutriBullet Pro 900 Review</x:v>
      </x:c>
      <x:c r="F28"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8" s="95" t="str">
        <x:v>One-paragraph verdict; scorecard with measurable criteria; evidence notes; pros/cons; alternatives; buy-if/skip-if; dated review update.</x:v>
      </x:c>
      <x:c r="H28" s="95" t="str">
        <x:v>Specs; scorecard; pros/cons; alternatives comparison</x:v>
      </x:c>
      <x:c r="I28" s="95" t="str">
        <x:v>Primary product CTA after verdict and value section; alternatives each get separate CTA</x:v>
      </x:c>
      <x:c r="J28" s="101" t="str">
        <x:v>Use 4–8 visible, non-repetitive questions. Answer each in 40–80 words. Add schema only when valid and useful.</x:v>
      </x:c>
    </x:row>
    <x:row r="29">
      <x:c r="A29" s="100" t="str">
        <x:v>AF-G01</x:v>
      </x:c>
      <x:c r="B29" s="95" t="str">
        <x:v>P1</x:v>
      </x:c>
      <x:c r="C29" s="95" t="str">
        <x:v>Buying Guide</x:v>
      </x:c>
      <x:c r="D29" s="95" t="str">
        <x:v>air fryer buying guide</x:v>
      </x:c>
      <x:c r="E29" s="95" t="str">
        <x:v>Air Fryer Buying Guide</x:v>
      </x:c>
      <x:c r="F29"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29" s="95" t="str">
        <x:v>Definition and direct recommendation; criteria table; ranges and thresholds; decision tree; mistakes; links to commercial pages; concise FAQs.</x:v>
      </x:c>
      <x:c r="H29" s="95" t="str">
        <x:v>Feature thresholds; size/capacity chart; decision tree</x:v>
      </x:c>
      <x:c r="I29" s="95" t="str">
        <x:v>Contextual links to 2–4 relevant roundups/reviews</x:v>
      </x:c>
      <x:c r="J29" s="101" t="str">
        <x:v>Use 4–8 visible, non-repetitive questions. Answer each in 40–80 words. Add schema only when valid and useful.</x:v>
      </x:c>
    </x:row>
    <x:row r="30">
      <x:c r="A30" s="100" t="str">
        <x:v>BL-G01</x:v>
      </x:c>
      <x:c r="B30" s="95" t="str">
        <x:v>P1</x:v>
      </x:c>
      <x:c r="C30" s="95" t="str">
        <x:v>Buying Guide</x:v>
      </x:c>
      <x:c r="D30" s="95" t="str">
        <x:v>blender buying guide</x:v>
      </x:c>
      <x:c r="E30" s="95" t="str">
        <x:v>Blender Buying Guide</x:v>
      </x:c>
      <x:c r="F30"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30" s="95" t="str">
        <x:v>Definition and direct recommendation; criteria table; ranges and thresholds; decision tree; mistakes; links to commercial pages; concise FAQs.</x:v>
      </x:c>
      <x:c r="H30" s="95" t="str">
        <x:v>Feature thresholds; size/capacity chart; decision tree</x:v>
      </x:c>
      <x:c r="I30" s="95" t="str">
        <x:v>Contextual links to 2–4 relevant roundups/reviews</x:v>
      </x:c>
      <x:c r="J30" s="101" t="str">
        <x:v>Use 4–8 visible, non-repetitive questions. Answer each in 40–80 words. Add schema only when valid and useful.</x:v>
      </x:c>
    </x:row>
    <x:row r="31">
      <x:c r="A31" s="100" t="str">
        <x:v>CC-G01</x:v>
      </x:c>
      <x:c r="B31" s="95" t="str">
        <x:v>P1</x:v>
      </x:c>
      <x:c r="C31" s="95" t="str">
        <x:v>Buying Guide</x:v>
      </x:c>
      <x:c r="D31" s="95" t="str">
        <x:v>how we test kitchen appliances</x:v>
      </x:c>
      <x:c r="E31" s="95" t="str">
        <x:v>How CounterCrave Tests and Evaluates Kitchen Appliances</x:v>
      </x:c>
      <x:c r="F31"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31" s="95" t="str">
        <x:v>Definition and direct recommendation; criteria table; ranges and thresholds; decision tree; mistakes; links to commercial pages; concise FAQs.</x:v>
      </x:c>
      <x:c r="H31" s="95" t="str">
        <x:v>Feature thresholds; size/capacity chart; decision tree</x:v>
      </x:c>
      <x:c r="I31" s="95" t="str">
        <x:v>Contextual links to 2–4 relevant roundups/reviews</x:v>
      </x:c>
      <x:c r="J31" s="101" t="str">
        <x:v>Use 4–8 visible, non-repetitive questions. Answer each in 40–80 words. Add schema only when valid and useful.</x:v>
      </x:c>
    </x:row>
    <x:row r="32">
      <x:c r="A32" s="100" t="str">
        <x:v>AF-G02</x:v>
      </x:c>
      <x:c r="B32" s="95" t="str">
        <x:v>P1</x:v>
      </x:c>
      <x:c r="C32" s="95" t="str">
        <x:v>Informational</x:v>
      </x:c>
      <x:c r="D32" s="95" t="str">
        <x:v>what size air fryer do i need</x:v>
      </x:c>
      <x:c r="E32" s="95" t="str">
        <x:v>What Size Air Fryer Do I Need?</x:v>
      </x:c>
      <x:c r="F32" s="95" t="str">
        <x:v>Direct answer | Why this happens or why it matters | Key factors that change the answer | Practical examples | What to do next | Important limitations and safety notes | Related product recommendations | Frequently asked questions</x:v>
      </x:c>
      <x:c r="G32" s="95" t="str">
        <x:v>40–60 word direct answer; definitions; conditions/exceptions; practical table; next-step recommendation; concise FAQs.</x:v>
      </x:c>
      <x:c r="H32" s="95" t="str">
        <x:v>Answer/condition table or troubleshooting table where useful</x:v>
      </x:c>
      <x:c r="I32" s="95" t="str">
        <x:v>Only contextual affiliate links when genuinely helpful</x:v>
      </x:c>
      <x:c r="J32" s="101" t="str">
        <x:v>Use 4–8 visible, non-repetitive questions. Answer each in 40–80 words. Add schema only when valid and useful.</x:v>
      </x:c>
    </x:row>
    <x:row r="33">
      <x:c r="A33" s="100" t="str">
        <x:v>CC-G02</x:v>
      </x:c>
      <x:c r="B33" s="95" t="str">
        <x:v>P1</x:v>
      </x:c>
      <x:c r="C33" s="95" t="str">
        <x:v>Informational</x:v>
      </x:c>
      <x:c r="D33" s="95" t="str">
        <x:v>countertop appliance size guide</x:v>
      </x:c>
      <x:c r="E33" s="95" t="str">
        <x:v>Countertop Appliance Size and Clearance Guide</x:v>
      </x:c>
      <x:c r="F33" s="95" t="str">
        <x:v>Direct answer | Why this happens or why it matters | Key factors that change the answer | Practical examples | What to do next | Important limitations and safety notes | Related product recommendations | Frequently asked questions</x:v>
      </x:c>
      <x:c r="G33" s="95" t="str">
        <x:v>40–60 word direct answer; definitions; conditions/exceptions; practical table; next-step recommendation; concise FAQs.</x:v>
      </x:c>
      <x:c r="H33" s="95" t="str">
        <x:v>Answer/condition table or troubleshooting table where useful</x:v>
      </x:c>
      <x:c r="I33" s="95" t="str">
        <x:v>Only contextual affiliate links when genuinely helpful</x:v>
      </x:c>
      <x:c r="J33" s="101" t="str">
        <x:v>Use 4–8 visible, non-repetitive questions. Answer each in 40–80 words. Add schema only when valid and useful.</x:v>
      </x:c>
    </x:row>
    <x:row r="34">
      <x:c r="A34" s="100" t="str">
        <x:v>EK-HUB</x:v>
      </x:c>
      <x:c r="B34" s="95" t="str">
        <x:v>P2</x:v>
      </x:c>
      <x:c r="C34" s="95" t="str">
        <x:v>Category Hub</x:v>
      </x:c>
      <x:c r="D34" s="95" t="str">
        <x:v>electric kettle reviews and buying guides</x:v>
      </x:c>
      <x:c r="E34" s="95" t="str">
        <x:v>Electric Kettle Reviews, Comparisons and Buying Guides</x:v>
      </x:c>
      <x:c r="F34" s="95" t="str">
        <x:v>Quick answer: how to choose the right electric kettles | Best picks by budget and use case | Browse all best-of roundups | Latest individual reviews | Head-to-head comparisons | Buying guides and troubleshooting | How CounterCrave evaluates products | Frequently asked questions</x:v>
      </x:c>
      <x:c r="G34" s="95" t="str">
        <x:v>40–60 word category summary; decision table; category taxonomy; links to best answers; methodology statement; concise FAQ answers.</x:v>
      </x:c>
      <x:c r="H34" s="95" t="str">
        <x:v>Best-by-use-case navigation table; latest content list</x:v>
      </x:c>
      <x:c r="I34" s="95" t="str">
        <x:v>Internal links first; minimal direct Amazon CTAs</x:v>
      </x:c>
      <x:c r="J34" s="101" t="str">
        <x:v>Use 4–8 visible, non-repetitive questions. Answer each in 40–80 words. Add schema only when valid and useful.</x:v>
      </x:c>
    </x:row>
    <x:row r="35">
      <x:c r="A35" s="100" t="str">
        <x:v>TO-HUB</x:v>
      </x:c>
      <x:c r="B35" s="95" t="str">
        <x:v>P2</x:v>
      </x:c>
      <x:c r="C35" s="95" t="str">
        <x:v>Category Hub</x:v>
      </x:c>
      <x:c r="D35" s="95" t="str">
        <x:v>toaster oven reviews and buying guides</x:v>
      </x:c>
      <x:c r="E35" s="95" t="str">
        <x:v>Toaster Oven Reviews, Comparisons and Buying Guides</x:v>
      </x:c>
      <x:c r="F35" s="95" t="str">
        <x:v>Quick answer: how to choose the right toaster ovens | Best picks by budget and use case | Browse all best-of roundups | Latest individual reviews | Head-to-head comparisons | Buying guides and troubleshooting | How CounterCrave evaluates products | Frequently asked questions</x:v>
      </x:c>
      <x:c r="G35" s="95" t="str">
        <x:v>40–60 word category summary; decision table; category taxonomy; links to best answers; methodology statement; concise FAQ answers.</x:v>
      </x:c>
      <x:c r="H35" s="95" t="str">
        <x:v>Best-by-use-case navigation table; latest content list</x:v>
      </x:c>
      <x:c r="I35" s="95" t="str">
        <x:v>Internal links first; minimal direct Amazon CTAs</x:v>
      </x:c>
      <x:c r="J35" s="101" t="str">
        <x:v>Use 4–8 visible, non-repetitive questions. Answer each in 40–80 words. Add schema only when valid and useful.</x:v>
      </x:c>
    </x:row>
    <x:row r="36">
      <x:c r="A36" s="100" t="str">
        <x:v>EK-PIL</x:v>
      </x:c>
      <x:c r="B36" s="95" t="str">
        <x:v>P2</x:v>
      </x:c>
      <x:c r="C36" s="95" t="str">
        <x:v>Commercial Pillar</x:v>
      </x:c>
      <x:c r="D36" s="95" t="str">
        <x:v>best electric kettles</x:v>
      </x:c>
      <x:c r="E36" s="95" t="str">
        <x:v>Best Electric Kettles for Tea, Coffee and Fast Boiling</x:v>
      </x:c>
      <x:c r="F36"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36" s="95" t="str">
        <x:v>Answer-first verdict; top-three table; measurable selection criteria; each pick has buy-if/skip-if; clear alternatives; short fact-based FAQs.</x:v>
      </x:c>
      <x:c r="H36" s="95" t="str">
        <x:v>Top picks table; full comparison table; selection criteria table; optional size/value decision table</x:v>
      </x:c>
      <x:c r="I36" s="95" t="str">
        <x:v>Disclosure → Check price on Amazon; contextual CTA after verdict; alternatives link</x:v>
      </x:c>
      <x:c r="J36" s="101" t="str">
        <x:v>Use 4–8 visible, non-repetitive questions. Answer each in 40–80 words. Add schema only when valid and useful.</x:v>
      </x:c>
    </x:row>
    <x:row r="37">
      <x:c r="A37" s="100" t="str">
        <x:v>TO-PIL</x:v>
      </x:c>
      <x:c r="B37" s="95" t="str">
        <x:v>P2</x:v>
      </x:c>
      <x:c r="C37" s="95" t="str">
        <x:v>Commercial Pillar</x:v>
      </x:c>
      <x:c r="D37" s="95" t="str">
        <x:v>best toaster ovens</x:v>
      </x:c>
      <x:c r="E37" s="95" t="str">
        <x:v>Best Toaster Ovens for Toast, Baking and Everyday Meals</x:v>
      </x:c>
      <x:c r="F37"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37" s="95" t="str">
        <x:v>Answer-first verdict; top-three table; measurable selection criteria; each pick has buy-if/skip-if; clear alternatives; short fact-based FAQs.</x:v>
      </x:c>
      <x:c r="H37" s="95" t="str">
        <x:v>Top picks table; full comparison table; selection criteria table; optional size/value decision table</x:v>
      </x:c>
      <x:c r="I37" s="95" t="str">
        <x:v>Disclosure → Check price on Amazon; contextual CTA after verdict; alternatives link</x:v>
      </x:c>
      <x:c r="J37" s="101" t="str">
        <x:v>Use 4–8 visible, non-repetitive questions. Answer each in 40–80 words. Add schema only when valid and useful.</x:v>
      </x:c>
    </x:row>
    <x:row r="38">
      <x:c r="A38" s="100" t="str">
        <x:v>AF-R08</x:v>
      </x:c>
      <x:c r="B38" s="95" t="str">
        <x:v>P2</x:v>
      </x:c>
      <x:c r="C38" s="95" t="str">
        <x:v>Roundup</x:v>
      </x:c>
      <x:c r="D38" s="95" t="str">
        <x:v>best air fryer for apartment</x:v>
      </x:c>
      <x:c r="E38" s="95" t="str">
        <x:v>Best Air Fryers for Apartments</x:v>
      </x:c>
      <x:c r="F38" s="95" t="str">
        <x:v>Quick picks | Comparison table | How we chose these products | Best overall option for best air fryer for apartment | Best budget option | Best premium option | Other strong options by use case | Detailed product evaluations | How to choose | Common buying mistakes | Frequently asked questions</x:v>
      </x:c>
      <x:c r="G38" s="95" t="str">
        <x:v>50-word direct answer; ranked list; decision matrix; explicit selection logic; pros/cons; audience fit; concise FAQ answers.</x:v>
      </x:c>
      <x:c r="H38" s="95" t="str">
        <x:v>Top picks table; full comparison table; selection criteria table; optional size/value decision table</x:v>
      </x:c>
      <x:c r="I38" s="95" t="str">
        <x:v>Disclosure → Check price on Amazon; contextual CTA after verdict; alternatives link</x:v>
      </x:c>
      <x:c r="J38" s="101" t="str">
        <x:v>Use 4–8 visible, non-repetitive questions. Answer each in 40–80 words. Add schema only when valid and useful.</x:v>
      </x:c>
    </x:row>
    <x:row r="39">
      <x:c r="A39" s="100" t="str">
        <x:v>AF-R09</x:v>
      </x:c>
      <x:c r="B39" s="95" t="str">
        <x:v>P2</x:v>
      </x:c>
      <x:c r="C39" s="95" t="str">
        <x:v>Roundup</x:v>
      </x:c>
      <x:c r="D39" s="95" t="str">
        <x:v>best air fryer for beginners</x:v>
      </x:c>
      <x:c r="E39" s="95" t="str">
        <x:v>Best Air Fryers for Beginners</x:v>
      </x:c>
      <x:c r="F39" s="95" t="str">
        <x:v>Quick picks | Comparison table | How we chose these products | Best overall option for best air fryer for beginners | Best budget option | Best premium option | Other strong options by use case | Detailed product evaluations | How to choose | Common buying mistakes | Frequently asked questions</x:v>
      </x:c>
      <x:c r="G39" s="95" t="str">
        <x:v>50-word direct answer; ranked list; decision matrix; explicit selection logic; pros/cons; audience fit; concise FAQ answers.</x:v>
      </x:c>
      <x:c r="H39" s="95" t="str">
        <x:v>Top picks table; full comparison table; selection criteria table; optional size/value decision table</x:v>
      </x:c>
      <x:c r="I39" s="95" t="str">
        <x:v>Disclosure → Check price on Amazon; contextual CTA after verdict; alternatives link</x:v>
      </x:c>
      <x:c r="J39" s="101" t="str">
        <x:v>Use 4–8 visible, non-repetitive questions. Answer each in 40–80 words. Add schema only when valid and useful.</x:v>
      </x:c>
    </x:row>
    <x:row r="40">
      <x:c r="A40" s="100" t="str">
        <x:v>AF-R10</x:v>
      </x:c>
      <x:c r="B40" s="95" t="str">
        <x:v>P2</x:v>
      </x:c>
      <x:c r="C40" s="95" t="str">
        <x:v>Roundup</x:v>
      </x:c>
      <x:c r="D40" s="95" t="str">
        <x:v>best air fryer for seniors</x:v>
      </x:c>
      <x:c r="E40" s="95" t="str">
        <x:v>Best Air Fryers for Seniors</x:v>
      </x:c>
      <x:c r="F40" s="95" t="str">
        <x:v>Quick picks | Comparison table | How we chose these products | Best overall option for best air fryer for seniors | Best budget option | Best premium option | Other strong options by use case | Detailed product evaluations | How to choose | Common buying mistakes | Frequently asked questions</x:v>
      </x:c>
      <x:c r="G40" s="95" t="str">
        <x:v>50-word direct answer; ranked list; decision matrix; explicit selection logic; pros/cons; audience fit; concise FAQ answers.</x:v>
      </x:c>
      <x:c r="H40" s="95" t="str">
        <x:v>Top picks table; full comparison table; selection criteria table; optional size/value decision table</x:v>
      </x:c>
      <x:c r="I40" s="95" t="str">
        <x:v>Disclosure → Check price on Amazon; contextual CTA after verdict; alternatives link</x:v>
      </x:c>
      <x:c r="J40" s="101" t="str">
        <x:v>Use 4–8 visible, non-repetitive questions. Answer each in 40–80 words. Add schema only when valid and useful.</x:v>
      </x:c>
    </x:row>
    <x:row r="41">
      <x:c r="A41" s="100" t="str">
        <x:v>AF-R13</x:v>
      </x:c>
      <x:c r="B41" s="95" t="str">
        <x:v>P2</x:v>
      </x:c>
      <x:c r="C41" s="95" t="str">
        <x:v>Roundup</x:v>
      </x:c>
      <x:c r="D41" s="95" t="str">
        <x:v>best stainless steel air fryer</x:v>
      </x:c>
      <x:c r="E41" s="95" t="str">
        <x:v>Best Stainless Steel Air Fryers</x:v>
      </x:c>
      <x:c r="F41" s="95" t="str">
        <x:v>Quick picks | Comparison table | How we chose these products | Best overall option for best stainless steel air fryer | Best budget option | Best premium option | Other strong options by use case | Detailed product evaluations | How to choose | Common buying mistakes | Frequently asked questions</x:v>
      </x:c>
      <x:c r="G41" s="95" t="str">
        <x:v>50-word direct answer; ranked list; decision matrix; explicit selection logic; pros/cons; audience fit; concise FAQ answers.</x:v>
      </x:c>
      <x:c r="H41" s="95" t="str">
        <x:v>Top picks table; full comparison table; selection criteria table; optional size/value decision table</x:v>
      </x:c>
      <x:c r="I41" s="95" t="str">
        <x:v>Disclosure → Check price on Amazon; contextual CTA after verdict; alternatives link</x:v>
      </x:c>
      <x:c r="J41" s="101" t="str">
        <x:v>Use 4–8 visible, non-repetitive questions. Answer each in 40–80 words. Add schema only when valid and useful.</x:v>
      </x:c>
    </x:row>
    <x:row r="42">
      <x:c r="A42" s="100" t="str">
        <x:v>AF-R14</x:v>
      </x:c>
      <x:c r="B42" s="95" t="str">
        <x:v>P2</x:v>
      </x:c>
      <x:c r="C42" s="95" t="str">
        <x:v>Roundup</x:v>
      </x:c>
      <x:c r="D42" s="95" t="str">
        <x:v>quietest air fryer</x:v>
      </x:c>
      <x:c r="E42" s="95" t="str">
        <x:v>Best Quiet Air Fryers</x:v>
      </x:c>
      <x:c r="F42" s="95" t="str">
        <x:v>Quick picks | Comparison table | How we chose these products | Best overall option for quietest air fryer | Best budget option | Best premium option | Other strong options by use case | Detailed product evaluations | How to choose | Common buying mistakes | Frequently asked questions</x:v>
      </x:c>
      <x:c r="G42" s="95" t="str">
        <x:v>50-word direct answer; ranked list; decision matrix; explicit selection logic; pros/cons; audience fit; concise FAQ answers.</x:v>
      </x:c>
      <x:c r="H42" s="95" t="str">
        <x:v>Top picks table; full comparison table; selection criteria table; optional size/value decision table</x:v>
      </x:c>
      <x:c r="I42" s="95" t="str">
        <x:v>Disclosure → Check price on Amazon; contextual CTA after verdict; alternatives link</x:v>
      </x:c>
      <x:c r="J42" s="101" t="str">
        <x:v>Use 4–8 visible, non-repetitive questions. Answer each in 40–80 words. Add schema only when valid and useful.</x:v>
      </x:c>
    </x:row>
    <x:row r="43">
      <x:c r="A43" s="100" t="str">
        <x:v>AF-R15</x:v>
      </x:c>
      <x:c r="B43" s="95" t="str">
        <x:v>P2</x:v>
      </x:c>
      <x:c r="C43" s="95" t="str">
        <x:v>Roundup</x:v>
      </x:c>
      <x:c r="D43" s="95" t="str">
        <x:v>best easy to clean air fryer</x:v>
      </x:c>
      <x:c r="E43" s="95" t="str">
        <x:v>Best Easy-to-Clean Air Fryers</x:v>
      </x:c>
      <x:c r="F43" s="95" t="str">
        <x:v>Quick picks | Comparison table | How we chose these products | Best overall option for best easy to clean air fryer | Best budget option | Best premium option | Other strong options by use case | Detailed product evaluations | How to choose | Common buying mistakes | Frequently asked questions</x:v>
      </x:c>
      <x:c r="G43" s="95" t="str">
        <x:v>50-word direct answer; ranked list; decision matrix; explicit selection logic; pros/cons; audience fit; concise FAQ answers.</x:v>
      </x:c>
      <x:c r="H43" s="95" t="str">
        <x:v>Top picks table; full comparison table; selection criteria table; optional size/value decision table</x:v>
      </x:c>
      <x:c r="I43" s="95" t="str">
        <x:v>Disclosure → Check price on Amazon; contextual CTA after verdict; alternatives link</x:v>
      </x:c>
      <x:c r="J43" s="101" t="str">
        <x:v>Use 4–8 visible, non-repetitive questions. Answer each in 40–80 words. Add schema only when valid and useful.</x:v>
      </x:c>
    </x:row>
    <x:row r="44">
      <x:c r="A44" s="100" t="str">
        <x:v>AF-R16</x:v>
      </x:c>
      <x:c r="B44" s="95" t="str">
        <x:v>P2</x:v>
      </x:c>
      <x:c r="C44" s="95" t="str">
        <x:v>Roundup</x:v>
      </x:c>
      <x:c r="D44" s="95" t="str">
        <x:v>best air fryer for chicken wings</x:v>
      </x:c>
      <x:c r="E44" s="95" t="str">
        <x:v>Best Air Fryers for Chicken Wings</x:v>
      </x:c>
      <x:c r="F44" s="95" t="str">
        <x:v>Quick picks | Comparison table | How we chose these products | Best overall option for best air fryer for chicken wings | Best budget option | Best premium option | Other strong options by use case | Detailed product evaluations | How to choose | Common buying mistakes | Frequently asked questions</x:v>
      </x:c>
      <x:c r="G44" s="95" t="str">
        <x:v>50-word direct answer; ranked list; decision matrix; explicit selection logic; pros/cons; audience fit; concise FAQ answers.</x:v>
      </x:c>
      <x:c r="H44" s="95" t="str">
        <x:v>Top picks table; full comparison table; selection criteria table; optional size/value decision table</x:v>
      </x:c>
      <x:c r="I44" s="95" t="str">
        <x:v>Disclosure → Check price on Amazon; contextual CTA after verdict; alternatives link</x:v>
      </x:c>
      <x:c r="J44" s="101" t="str">
        <x:v>Use 4–8 visible, non-repetitive questions. Answer each in 40–80 words. Add schema only when valid and useful.</x:v>
      </x:c>
    </x:row>
    <x:row r="45">
      <x:c r="A45" s="100" t="str">
        <x:v>AF-R17</x:v>
      </x:c>
      <x:c r="B45" s="95" t="str">
        <x:v>P2</x:v>
      </x:c>
      <x:c r="C45" s="95" t="str">
        <x:v>Roundup</x:v>
      </x:c>
      <x:c r="D45" s="95" t="str">
        <x:v>best air fryer for french fries</x:v>
      </x:c>
      <x:c r="E45" s="95" t="str">
        <x:v>Best Air Fryers for French Fries</x:v>
      </x:c>
      <x:c r="F45" s="95" t="str">
        <x:v>Quick picks | Comparison table | How we chose these products | Best overall option for best air fryer for french fries | Best budget option | Best premium option | Other strong options by use case | Detailed product evaluations | How to choose | Common buying mistakes | Frequently asked questions</x:v>
      </x:c>
      <x:c r="G45" s="95" t="str">
        <x:v>50-word direct answer; ranked list; decision matrix; explicit selection logic; pros/cons; audience fit; concise FAQ answers.</x:v>
      </x:c>
      <x:c r="H45" s="95" t="str">
        <x:v>Top picks table; full comparison table; selection criteria table; optional size/value decision table</x:v>
      </x:c>
      <x:c r="I45" s="95" t="str">
        <x:v>Disclosure → Check price on Amazon; contextual CTA after verdict; alternatives link</x:v>
      </x:c>
      <x:c r="J45" s="101" t="str">
        <x:v>Use 4–8 visible, non-repetitive questions. Answer each in 40–80 words. Add schema only when valid and useful.</x:v>
      </x:c>
    </x:row>
    <x:row r="46">
      <x:c r="A46" s="100" t="str">
        <x:v>BL-R02</x:v>
      </x:c>
      <x:c r="B46" s="95" t="str">
        <x:v>P2</x:v>
      </x:c>
      <x:c r="C46" s="95" t="str">
        <x:v>Roundup</x:v>
      </x:c>
      <x:c r="D46" s="95" t="str">
        <x:v>best blender under $200</x:v>
      </x:c>
      <x:c r="E46" s="95" t="str">
        <x:v>Best Blenders Under $200</x:v>
      </x:c>
      <x:c r="F46" s="95" t="str">
        <x:v>Quick picks | Comparison table | How we chose these products | Best overall option for best blender under $200 | Best budget option | Best premium option | Other strong options by use case | Detailed product evaluations | How to choose | Common buying mistakes | Frequently asked questions</x:v>
      </x:c>
      <x:c r="G46" s="95" t="str">
        <x:v>50-word direct answer; ranked list; decision matrix; explicit selection logic; pros/cons; audience fit; concise FAQ answers.</x:v>
      </x:c>
      <x:c r="H46" s="95" t="str">
        <x:v>Top picks table; full comparison table; selection criteria table; optional size/value decision table</x:v>
      </x:c>
      <x:c r="I46" s="95" t="str">
        <x:v>Disclosure → Check price on Amazon; contextual CTA after verdict; alternatives link</x:v>
      </x:c>
      <x:c r="J46" s="101" t="str">
        <x:v>Use 4–8 visible, non-repetitive questions. Answer each in 40–80 words. Add schema only when valid and useful.</x:v>
      </x:c>
    </x:row>
    <x:row r="47">
      <x:c r="A47" s="100" t="str">
        <x:v>BL-R07</x:v>
      </x:c>
      <x:c r="B47" s="95" t="str">
        <x:v>P2</x:v>
      </x:c>
      <x:c r="C47" s="95" t="str">
        <x:v>Roundup</x:v>
      </x:c>
      <x:c r="D47" s="95" t="str">
        <x:v>best blender for protein shakes</x:v>
      </x:c>
      <x:c r="E47" s="95" t="str">
        <x:v>Best Blenders for Protein Shakes</x:v>
      </x:c>
      <x:c r="F47" s="95" t="str">
        <x:v>Quick picks | Comparison table | How we chose these products | Best overall option for best blender for protein shakes | Best budget option | Best premium option | Other strong options by use case | Detailed product evaluations | How to choose | Common buying mistakes | Frequently asked questions</x:v>
      </x:c>
      <x:c r="G47" s="95" t="str">
        <x:v>50-word direct answer; ranked list; decision matrix; explicit selection logic; pros/cons; audience fit; concise FAQ answers.</x:v>
      </x:c>
      <x:c r="H47" s="95" t="str">
        <x:v>Top picks table; full comparison table; selection criteria table; optional size/value decision table</x:v>
      </x:c>
      <x:c r="I47" s="95" t="str">
        <x:v>Disclosure → Check price on Amazon; contextual CTA after verdict; alternatives link</x:v>
      </x:c>
      <x:c r="J47" s="101" t="str">
        <x:v>Use 4–8 visible, non-repetitive questions. Answer each in 40–80 words. Add schema only when valid and useful.</x:v>
      </x:c>
    </x:row>
    <x:row r="48">
      <x:c r="A48" s="100" t="str">
        <x:v>BL-R08</x:v>
      </x:c>
      <x:c r="B48" s="95" t="str">
        <x:v>P2</x:v>
      </x:c>
      <x:c r="C48" s="95" t="str">
        <x:v>Roundup</x:v>
      </x:c>
      <x:c r="D48" s="95" t="str">
        <x:v>best blender for nut butter</x:v>
      </x:c>
      <x:c r="E48" s="95" t="str">
        <x:v>Best Blenders for Nut Butter</x:v>
      </x:c>
      <x:c r="F48" s="95" t="str">
        <x:v>Quick picks | Comparison table | How we chose these products | Best overall option for best blender for nut butter | Best budget option | Best premium option | Other strong options by use case | Detailed product evaluations | How to choose | Common buying mistakes | Frequently asked questions</x:v>
      </x:c>
      <x:c r="G48" s="95" t="str">
        <x:v>50-word direct answer; ranked list; decision matrix; explicit selection logic; pros/cons; audience fit; concise FAQ answers.</x:v>
      </x:c>
      <x:c r="H48" s="95" t="str">
        <x:v>Top picks table; full comparison table; selection criteria table; optional size/value decision table</x:v>
      </x:c>
      <x:c r="I48" s="95" t="str">
        <x:v>Disclosure → Check price on Amazon; contextual CTA after verdict; alternatives link</x:v>
      </x:c>
      <x:c r="J48" s="101" t="str">
        <x:v>Use 4–8 visible, non-repetitive questions. Answer each in 40–80 words. Add schema only when valid and useful.</x:v>
      </x:c>
    </x:row>
    <x:row r="49">
      <x:c r="A49" s="100" t="str">
        <x:v>BL-R09</x:v>
      </x:c>
      <x:c r="B49" s="95" t="str">
        <x:v>P2</x:v>
      </x:c>
      <x:c r="C49" s="95" t="str">
        <x:v>Roundup</x:v>
      </x:c>
      <x:c r="D49" s="95" t="str">
        <x:v>best blender for hot soup</x:v>
      </x:c>
      <x:c r="E49" s="95" t="str">
        <x:v>Best Blenders for Hot Soup</x:v>
      </x:c>
      <x:c r="F49" s="95" t="str">
        <x:v>Quick picks | Comparison table | How we chose these products | Best overall option for best blender for hot soup | Best budget option | Best premium option | Other strong options by use case | Detailed product evaluations | How to choose | Common buying mistakes | Frequently asked questions</x:v>
      </x:c>
      <x:c r="G49" s="95" t="str">
        <x:v>50-word direct answer; ranked list; decision matrix; explicit selection logic; pros/cons; audience fit; concise FAQ answers.</x:v>
      </x:c>
      <x:c r="H49" s="95" t="str">
        <x:v>Top picks table; full comparison table; selection criteria table; optional size/value decision table</x:v>
      </x:c>
      <x:c r="I49" s="95" t="str">
        <x:v>Disclosure → Check price on Amazon; contextual CTA after verdict; alternatives link</x:v>
      </x:c>
      <x:c r="J49" s="101" t="str">
        <x:v>Use 4–8 visible, non-repetitive questions. Answer each in 40–80 words. Add schema only when valid and useful.</x:v>
      </x:c>
    </x:row>
    <x:row r="50">
      <x:c r="A50" s="100" t="str">
        <x:v>BL-R10</x:v>
      </x:c>
      <x:c r="B50" s="95" t="str">
        <x:v>P2</x:v>
      </x:c>
      <x:c r="C50" s="95" t="str">
        <x:v>Roundup</x:v>
      </x:c>
      <x:c r="D50" s="95" t="str">
        <x:v>quietest blender</x:v>
      </x:c>
      <x:c r="E50" s="95" t="str">
        <x:v>Best Quiet Blenders</x:v>
      </x:c>
      <x:c r="F50" s="95" t="str">
        <x:v>Quick picks | Comparison table | How we chose these products | Best overall option for quietest blender | Best budget option | Best premium option | Other strong options by use case | Detailed product evaluations | How to choose | Common buying mistakes | Frequently asked questions</x:v>
      </x:c>
      <x:c r="G50" s="95" t="str">
        <x:v>50-word direct answer; ranked list; decision matrix; explicit selection logic; pros/cons; audience fit; concise FAQ answers.</x:v>
      </x:c>
      <x:c r="H50" s="95" t="str">
        <x:v>Top picks table; full comparison table; selection criteria table; optional size/value decision table</x:v>
      </x:c>
      <x:c r="I50" s="95" t="str">
        <x:v>Disclosure → Check price on Amazon; contextual CTA after verdict; alternatives link</x:v>
      </x:c>
      <x:c r="J50" s="101" t="str">
        <x:v>Use 4–8 visible, non-repetitive questions. Answer each in 40–80 words. Add schema only when valid and useful.</x:v>
      </x:c>
    </x:row>
    <x:row r="51">
      <x:c r="A51" s="100" t="str">
        <x:v>BL-R11</x:v>
      </x:c>
      <x:c r="B51" s="95" t="str">
        <x:v>P2</x:v>
      </x:c>
      <x:c r="C51" s="95" t="str">
        <x:v>Roundup</x:v>
      </x:c>
      <x:c r="D51" s="95" t="str">
        <x:v>best blender with glass jar</x:v>
      </x:c>
      <x:c r="E51" s="95" t="str">
        <x:v>Best Blenders with Glass Jars</x:v>
      </x:c>
      <x:c r="F51" s="95" t="str">
        <x:v>Quick picks | Comparison table | How we chose these products | Best overall option for best blender with glass jar | Best budget option | Best premium option | Other strong options by use case | Detailed product evaluations | How to choose | Common buying mistakes | Frequently asked questions</x:v>
      </x:c>
      <x:c r="G51" s="95" t="str">
        <x:v>50-word direct answer; ranked list; decision matrix; explicit selection logic; pros/cons; audience fit; concise FAQ answers.</x:v>
      </x:c>
      <x:c r="H51" s="95" t="str">
        <x:v>Top picks table; full comparison table; selection criteria table; optional size/value decision table</x:v>
      </x:c>
      <x:c r="I51" s="95" t="str">
        <x:v>Disclosure → Check price on Amazon; contextual CTA after verdict; alternatives link</x:v>
      </x:c>
      <x:c r="J51" s="101" t="str">
        <x:v>Use 4–8 visible, non-repetitive questions. Answer each in 40–80 words. Add schema only when valid and useful.</x:v>
      </x:c>
    </x:row>
    <x:row r="52">
      <x:c r="A52" s="100" t="str">
        <x:v>BL-R12</x:v>
      </x:c>
      <x:c r="B52" s="95" t="str">
        <x:v>P2</x:v>
      </x:c>
      <x:c r="C52" s="95" t="str">
        <x:v>Roundup</x:v>
      </x:c>
      <x:c r="D52" s="95" t="str">
        <x:v>best compact blender</x:v>
      </x:c>
      <x:c r="E52" s="95" t="str">
        <x:v>Best Compact Blenders for Small Kitchens</x:v>
      </x:c>
      <x:c r="F52" s="95" t="str">
        <x:v>Quick picks | Comparison table | How we chose these products | Best overall option for best compact blender | Best budget option | Best premium option | Other strong options by use case | Detailed product evaluations | How to choose | Common buying mistakes | Frequently asked questions</x:v>
      </x:c>
      <x:c r="G52" s="95" t="str">
        <x:v>50-word direct answer; ranked list; decision matrix; explicit selection logic; pros/cons; audience fit; concise FAQ answers.</x:v>
      </x:c>
      <x:c r="H52" s="95" t="str">
        <x:v>Top picks table; full comparison table; selection criteria table; optional size/value decision table</x:v>
      </x:c>
      <x:c r="I52" s="95" t="str">
        <x:v>Disclosure → Check price on Amazon; contextual CTA after verdict; alternatives link</x:v>
      </x:c>
      <x:c r="J52" s="101" t="str">
        <x:v>Use 4–8 visible, non-repetitive questions. Answer each in 40–80 words. Add schema only when valid and useful.</x:v>
      </x:c>
    </x:row>
    <x:row r="53">
      <x:c r="A53" s="100" t="str">
        <x:v>EK-R01</x:v>
      </x:c>
      <x:c r="B53" s="95" t="str">
        <x:v>P2</x:v>
      </x:c>
      <x:c r="C53" s="95" t="str">
        <x:v>Roundup</x:v>
      </x:c>
      <x:c r="D53" s="95" t="str">
        <x:v>best electric kettle under $50</x:v>
      </x:c>
      <x:c r="E53" s="95" t="str">
        <x:v>Best Electric Kettles Under $50</x:v>
      </x:c>
      <x:c r="F53" s="95" t="str">
        <x:v>Quick picks | Comparison table | How we chose these products | Best overall option for best electric kettle under $50 | Best budget option | Best premium option | Other strong options by use case | Detailed product evaluations | How to choose | Common buying mistakes | Frequently asked questions</x:v>
      </x:c>
      <x:c r="G53" s="95" t="str">
        <x:v>50-word direct answer; ranked list; decision matrix; explicit selection logic; pros/cons; audience fit; concise FAQ answers.</x:v>
      </x:c>
      <x:c r="H53" s="95" t="str">
        <x:v>Top picks table; full comparison table; selection criteria table; optional size/value decision table</x:v>
      </x:c>
      <x:c r="I53" s="95" t="str">
        <x:v>Disclosure → Check price on Amazon; contextual CTA after verdict; alternatives link</x:v>
      </x:c>
      <x:c r="J53" s="101" t="str">
        <x:v>Use 4–8 visible, non-repetitive questions. Answer each in 40–80 words. Add schema only when valid and useful.</x:v>
      </x:c>
    </x:row>
    <x:row r="54">
      <x:c r="A54" s="100" t="str">
        <x:v>EK-R02</x:v>
      </x:c>
      <x:c r="B54" s="95" t="str">
        <x:v>P2</x:v>
      </x:c>
      <x:c r="C54" s="95" t="str">
        <x:v>Roundup</x:v>
      </x:c>
      <x:c r="D54" s="95" t="str">
        <x:v>best gooseneck kettle</x:v>
      </x:c>
      <x:c r="E54" s="95" t="str">
        <x:v>Best Gooseneck Kettles</x:v>
      </x:c>
      <x:c r="F54" s="95" t="str">
        <x:v>Quick picks | Comparison table | How we chose these products | Best overall option for best gooseneck kettle | Best budget option | Best premium option | Other strong options by use case | Detailed product evaluations | How to choose | Common buying mistakes | Frequently asked questions</x:v>
      </x:c>
      <x:c r="G54" s="95" t="str">
        <x:v>50-word direct answer; ranked list; decision matrix; explicit selection logic; pros/cons; audience fit; concise FAQ answers.</x:v>
      </x:c>
      <x:c r="H54" s="95" t="str">
        <x:v>Top picks table; full comparison table; selection criteria table; optional size/value decision table</x:v>
      </x:c>
      <x:c r="I54" s="95" t="str">
        <x:v>Disclosure → Check price on Amazon; contextual CTA after verdict; alternatives link</x:v>
      </x:c>
      <x:c r="J54" s="101" t="str">
        <x:v>Use 4–8 visible, non-repetitive questions. Answer each in 40–80 words. Add schema only when valid and useful.</x:v>
      </x:c>
    </x:row>
    <x:row r="55">
      <x:c r="A55" s="100" t="str">
        <x:v>EK-R03</x:v>
      </x:c>
      <x:c r="B55" s="95" t="str">
        <x:v>P2</x:v>
      </x:c>
      <x:c r="C55" s="95" t="str">
        <x:v>Roundup</x:v>
      </x:c>
      <x:c r="D55" s="95" t="str">
        <x:v>best electric kettle for tea</x:v>
      </x:c>
      <x:c r="E55" s="95" t="str">
        <x:v>Best Electric Kettles for Tea</x:v>
      </x:c>
      <x:c r="F55" s="95" t="str">
        <x:v>Quick picks | Comparison table | How we chose these products | Best overall option for best electric kettle for tea | Best budget option | Best premium option | Other strong options by use case | Detailed product evaluations | How to choose | Common buying mistakes | Frequently asked questions</x:v>
      </x:c>
      <x:c r="G55" s="95" t="str">
        <x:v>50-word direct answer; ranked list; decision matrix; explicit selection logic; pros/cons; audience fit; concise FAQ answers.</x:v>
      </x:c>
      <x:c r="H55" s="95" t="str">
        <x:v>Top picks table; full comparison table; selection criteria table; optional size/value decision table</x:v>
      </x:c>
      <x:c r="I55" s="95" t="str">
        <x:v>Disclosure → Check price on Amazon; contextual CTA after verdict; alternatives link</x:v>
      </x:c>
      <x:c r="J55" s="101" t="str">
        <x:v>Use 4–8 visible, non-repetitive questions. Answer each in 40–80 words. Add schema only when valid and useful.</x:v>
      </x:c>
    </x:row>
    <x:row r="56">
      <x:c r="A56" s="100" t="str">
        <x:v>EK-R04</x:v>
      </x:c>
      <x:c r="B56" s="95" t="str">
        <x:v>P2</x:v>
      </x:c>
      <x:c r="C56" s="95" t="str">
        <x:v>Roundup</x:v>
      </x:c>
      <x:c r="D56" s="95" t="str">
        <x:v>best electric kettle for pour over coffee</x:v>
      </x:c>
      <x:c r="E56" s="95" t="str">
        <x:v>Best Electric Kettles for Pour-Over Coffee</x:v>
      </x:c>
      <x:c r="F56" s="95" t="str">
        <x:v>Quick picks | Comparison table | How we chose these products | Best overall option for best electric kettle for pour over coffee | Best budget option | Best premium option | Other strong options by use case | Detailed product evaluations | How to choose | Common buying mistakes | Frequently asked questions</x:v>
      </x:c>
      <x:c r="G56" s="95" t="str">
        <x:v>50-word direct answer; ranked list; decision matrix; explicit selection logic; pros/cons; audience fit; concise FAQ answers.</x:v>
      </x:c>
      <x:c r="H56" s="95" t="str">
        <x:v>Top picks table; full comparison table; selection criteria table; optional size/value decision table</x:v>
      </x:c>
      <x:c r="I56" s="95" t="str">
        <x:v>Disclosure → Check price on Amazon; contextual CTA after verdict; alternatives link</x:v>
      </x:c>
      <x:c r="J56" s="101" t="str">
        <x:v>Use 4–8 visible, non-repetitive questions. Answer each in 40–80 words. Add schema only when valid and useful.</x:v>
      </x:c>
    </x:row>
    <x:row r="57">
      <x:c r="A57" s="100" t="str">
        <x:v>EK-R05</x:v>
      </x:c>
      <x:c r="B57" s="95" t="str">
        <x:v>P2</x:v>
      </x:c>
      <x:c r="C57" s="95" t="str">
        <x:v>Roundup</x:v>
      </x:c>
      <x:c r="D57" s="95" t="str">
        <x:v>best variable temperature kettle</x:v>
      </x:c>
      <x:c r="E57" s="95" t="str">
        <x:v>Best Variable Temperature Kettles</x:v>
      </x:c>
      <x:c r="F57" s="95" t="str">
        <x:v>Quick picks | Comparison table | How we chose these products | Best overall option for best variable temperature kettle | Best budget option | Best premium option | Other strong options by use case | Detailed product evaluations | How to choose | Common buying mistakes | Frequently asked questions</x:v>
      </x:c>
      <x:c r="G57" s="95" t="str">
        <x:v>50-word direct answer; ranked list; decision matrix; explicit selection logic; pros/cons; audience fit; concise FAQ answers.</x:v>
      </x:c>
      <x:c r="H57" s="95" t="str">
        <x:v>Top picks table; full comparison table; selection criteria table; optional size/value decision table</x:v>
      </x:c>
      <x:c r="I57" s="95" t="str">
        <x:v>Disclosure → Check price on Amazon; contextual CTA after verdict; alternatives link</x:v>
      </x:c>
      <x:c r="J57" s="101" t="str">
        <x:v>Use 4–8 visible, non-repetitive questions. Answer each in 40–80 words. Add schema only when valid and useful.</x:v>
      </x:c>
    </x:row>
    <x:row r="58">
      <x:c r="A58" s="100" t="str">
        <x:v>TO-R01</x:v>
      </x:c>
      <x:c r="B58" s="95" t="str">
        <x:v>P2</x:v>
      </x:c>
      <x:c r="C58" s="95" t="str">
        <x:v>Roundup</x:v>
      </x:c>
      <x:c r="D58" s="95" t="str">
        <x:v>best toaster oven under $100</x:v>
      </x:c>
      <x:c r="E58" s="95" t="str">
        <x:v>Best Toaster Ovens Under $100</x:v>
      </x:c>
      <x:c r="F58" s="95" t="str">
        <x:v>Quick picks | Comparison table | How we chose these products | Best overall option for best toaster oven under $100 | Best budget option | Best premium option | Other strong options by use case | Detailed product evaluations | How to choose | Common buying mistakes | Frequently asked questions</x:v>
      </x:c>
      <x:c r="G58" s="95" t="str">
        <x:v>50-word direct answer; ranked list; decision matrix; explicit selection logic; pros/cons; audience fit; concise FAQ answers.</x:v>
      </x:c>
      <x:c r="H58" s="95" t="str">
        <x:v>Top picks table; full comparison table; selection criteria table; optional size/value decision table</x:v>
      </x:c>
      <x:c r="I58" s="95" t="str">
        <x:v>Disclosure → Check price on Amazon; contextual CTA after verdict; alternatives link</x:v>
      </x:c>
      <x:c r="J58" s="101" t="str">
        <x:v>Use 4–8 visible, non-repetitive questions. Answer each in 40–80 words. Add schema only when valid and useful.</x:v>
      </x:c>
    </x:row>
    <x:row r="59">
      <x:c r="A59" s="100" t="str">
        <x:v>TO-R02</x:v>
      </x:c>
      <x:c r="B59" s="95" t="str">
        <x:v>P2</x:v>
      </x:c>
      <x:c r="C59" s="95" t="str">
        <x:v>Roundup</x:v>
      </x:c>
      <x:c r="D59" s="95" t="str">
        <x:v>best toaster oven under $200</x:v>
      </x:c>
      <x:c r="E59" s="95" t="str">
        <x:v>Best Toaster Ovens Under $200</x:v>
      </x:c>
      <x:c r="F59" s="95" t="str">
        <x:v>Quick picks | Comparison table | How we chose these products | Best overall option for best toaster oven under $200 | Best budget option | Best premium option | Other strong options by use case | Detailed product evaluations | How to choose | Common buying mistakes | Frequently asked questions</x:v>
      </x:c>
      <x:c r="G59" s="95" t="str">
        <x:v>50-word direct answer; ranked list; decision matrix; explicit selection logic; pros/cons; audience fit; concise FAQ answers.</x:v>
      </x:c>
      <x:c r="H59" s="95" t="str">
        <x:v>Top picks table; full comparison table; selection criteria table; optional size/value decision table</x:v>
      </x:c>
      <x:c r="I59" s="95" t="str">
        <x:v>Disclosure → Check price on Amazon; contextual CTA after verdict; alternatives link</x:v>
      </x:c>
      <x:c r="J59" s="101" t="str">
        <x:v>Use 4–8 visible, non-repetitive questions. Answer each in 40–80 words. Add schema only when valid and useful.</x:v>
      </x:c>
    </x:row>
    <x:row r="60">
      <x:c r="A60" s="100" t="str">
        <x:v>TO-R03</x:v>
      </x:c>
      <x:c r="B60" s="95" t="str">
        <x:v>P2</x:v>
      </x:c>
      <x:c r="C60" s="95" t="str">
        <x:v>Roundup</x:v>
      </x:c>
      <x:c r="D60" s="95" t="str">
        <x:v>best small toaster oven</x:v>
      </x:c>
      <x:c r="E60" s="95" t="str">
        <x:v>Best Small Toaster Ovens</x:v>
      </x:c>
      <x:c r="F60" s="95" t="str">
        <x:v>Quick picks | Comparison table | How we chose these products | Best overall option for best small toaster oven | Best budget option | Best premium option | Other strong options by use case | Detailed product evaluations | How to choose | Common buying mistakes | Frequently asked questions</x:v>
      </x:c>
      <x:c r="G60" s="95" t="str">
        <x:v>50-word direct answer; ranked list; decision matrix; explicit selection logic; pros/cons; audience fit; concise FAQ answers.</x:v>
      </x:c>
      <x:c r="H60" s="95" t="str">
        <x:v>Top picks table; full comparison table; selection criteria table; optional size/value decision table</x:v>
      </x:c>
      <x:c r="I60" s="95" t="str">
        <x:v>Disclosure → Check price on Amazon; contextual CTA after verdict; alternatives link</x:v>
      </x:c>
      <x:c r="J60" s="101" t="str">
        <x:v>Use 4–8 visible, non-repetitive questions. Answer each in 40–80 words. Add schema only when valid and useful.</x:v>
      </x:c>
    </x:row>
    <x:row r="61">
      <x:c r="A61" s="100" t="str">
        <x:v>TO-R04</x:v>
      </x:c>
      <x:c r="B61" s="95" t="str">
        <x:v>P2</x:v>
      </x:c>
      <x:c r="C61" s="95" t="str">
        <x:v>Roundup</x:v>
      </x:c>
      <x:c r="D61" s="95" t="str">
        <x:v>best toaster oven for baking</x:v>
      </x:c>
      <x:c r="E61" s="95" t="str">
        <x:v>Best Toaster Ovens for Baking</x:v>
      </x:c>
      <x:c r="F61" s="95" t="str">
        <x:v>Quick picks | Comparison table | How we chose these products | Best overall option for best toaster oven for baking | Best budget option | Best premium option | Other strong options by use case | Detailed product evaluations | How to choose | Common buying mistakes | Frequently asked questions</x:v>
      </x:c>
      <x:c r="G61" s="95" t="str">
        <x:v>50-word direct answer; ranked list; decision matrix; explicit selection logic; pros/cons; audience fit; concise FAQ answers.</x:v>
      </x:c>
      <x:c r="H61" s="95" t="str">
        <x:v>Top picks table; full comparison table; selection criteria table; optional size/value decision table</x:v>
      </x:c>
      <x:c r="I61" s="95" t="str">
        <x:v>Disclosure → Check price on Amazon; contextual CTA after verdict; alternatives link</x:v>
      </x:c>
      <x:c r="J61" s="101" t="str">
        <x:v>Use 4–8 visible, non-repetitive questions. Answer each in 40–80 words. Add schema only when valid and useful.</x:v>
      </x:c>
    </x:row>
    <x:row r="62">
      <x:c r="A62" s="100" t="str">
        <x:v>TO-R06</x:v>
      </x:c>
      <x:c r="B62" s="95" t="str">
        <x:v>P2</x:v>
      </x:c>
      <x:c r="C62" s="95" t="str">
        <x:v>Roundup</x:v>
      </x:c>
      <x:c r="D62" s="95" t="str">
        <x:v>best air fryer toaster oven</x:v>
      </x:c>
      <x:c r="E62" s="95" t="str">
        <x:v>Best Air Fryer Toaster Ovens</x:v>
      </x:c>
      <x:c r="F62" s="95" t="str">
        <x:v>Quick picks | Comparison table | How we chose these products | Best overall option for best air fryer toaster oven | Best budget option | Best premium option | Other strong options by use case | Detailed product evaluations | How to choose | Common buying mistakes | Frequently asked questions</x:v>
      </x:c>
      <x:c r="G62" s="95" t="str">
        <x:v>50-word direct answer; ranked list; decision matrix; explicit selection logic; pros/cons; audience fit; concise FAQ answers.</x:v>
      </x:c>
      <x:c r="H62" s="95" t="str">
        <x:v>Top picks table; full comparison table; selection criteria table; optional size/value decision table</x:v>
      </x:c>
      <x:c r="I62" s="95" t="str">
        <x:v>Disclosure → Check price on Amazon; contextual CTA after verdict; alternatives link</x:v>
      </x:c>
      <x:c r="J62" s="101" t="str">
        <x:v>Use 4–8 visible, non-repetitive questions. Answer each in 40–80 words. Add schema only when valid and useful.</x:v>
      </x:c>
    </x:row>
    <x:row r="63">
      <x:c r="A63" s="100" t="str">
        <x:v>AF-C02</x:v>
      </x:c>
      <x:c r="B63" s="95" t="str">
        <x:v>P2</x:v>
      </x:c>
      <x:c r="C63" s="95" t="str">
        <x:v>Comparison</x:v>
      </x:c>
      <x:c r="D63" s="95" t="str">
        <x:v>instant vortex vs ninja air fryer</x:v>
      </x:c>
      <x:c r="E63" s="95" t="str">
        <x:v>Instant Vortex vs Ninja Air Fryer</x:v>
      </x:c>
      <x:c r="F63"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3" s="95" t="str">
        <x:v>Direct winner by use case; structured difference table; category-by-category winners; no forced single winner; concise decision summary.</x:v>
      </x:c>
      <x:c r="H63" s="95" t="str">
        <x:v>At-a-glance comparison; category winners; specifications</x:v>
      </x:c>
      <x:c r="I63" s="95" t="str">
        <x:v>Separate clearly labelled CTA for each product; do not bias without evidence</x:v>
      </x:c>
      <x:c r="J63" s="101" t="str">
        <x:v>Use 4–8 visible, non-repetitive questions. Answer each in 40–80 words. Add schema only when valid and useful.</x:v>
      </x:c>
    </x:row>
    <x:row r="64">
      <x:c r="A64" s="100" t="str">
        <x:v>AF-C04</x:v>
      </x:c>
      <x:c r="B64" s="95" t="str">
        <x:v>P2</x:v>
      </x:c>
      <x:c r="C64" s="95" t="str">
        <x:v>Comparison</x:v>
      </x:c>
      <x:c r="D64" s="95" t="str">
        <x:v>single vs dual basket air fryer</x:v>
      </x:c>
      <x:c r="E64" s="95" t="str">
        <x:v>Single Basket vs Dual Basket Air Fryer</x:v>
      </x:c>
      <x:c r="F64"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4" s="95" t="str">
        <x:v>Direct winner by use case; structured difference table; category-by-category winners; no forced single winner; concise decision summary.</x:v>
      </x:c>
      <x:c r="H64" s="95" t="str">
        <x:v>At-a-glance comparison; category winners; specifications</x:v>
      </x:c>
      <x:c r="I64" s="95" t="str">
        <x:v>Separate clearly labelled CTA for each product; do not bias without evidence</x:v>
      </x:c>
      <x:c r="J64" s="101" t="str">
        <x:v>Use 4–8 visible, non-repetitive questions. Answer each in 40–80 words. Add schema only when valid and useful.</x:v>
      </x:c>
    </x:row>
    <x:row r="65">
      <x:c r="A65" s="100" t="str">
        <x:v>AF-C05</x:v>
      </x:c>
      <x:c r="B65" s="95" t="str">
        <x:v>P2</x:v>
      </x:c>
      <x:c r="C65" s="95" t="str">
        <x:v>Comparison</x:v>
      </x:c>
      <x:c r="D65" s="95" t="str">
        <x:v>4 qt vs 6 qt air fryer</x:v>
      </x:c>
      <x:c r="E65" s="95" t="str">
        <x:v>4-Quart vs 6-Quart Air Fryer</x:v>
      </x:c>
      <x:c r="F65"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5" s="95" t="str">
        <x:v>Direct winner by use case; structured difference table; category-by-category winners; no forced single winner; concise decision summary.</x:v>
      </x:c>
      <x:c r="H65" s="95" t="str">
        <x:v>At-a-glance comparison; category winners; specifications</x:v>
      </x:c>
      <x:c r="I65" s="95" t="str">
        <x:v>Separate clearly labelled CTA for each product; do not bias without evidence</x:v>
      </x:c>
      <x:c r="J65" s="101" t="str">
        <x:v>Use 4–8 visible, non-repetitive questions. Answer each in 40–80 words. Add schema only when valid and useful.</x:v>
      </x:c>
    </x:row>
    <x:row r="66">
      <x:c r="A66" s="100" t="str">
        <x:v>AF-C06</x:v>
      </x:c>
      <x:c r="B66" s="95" t="str">
        <x:v>P2</x:v>
      </x:c>
      <x:c r="C66" s="95" t="str">
        <x:v>Comparison</x:v>
      </x:c>
      <x:c r="D66" s="95" t="str">
        <x:v>air fryer vs convection oven</x:v>
      </x:c>
      <x:c r="E66" s="95" t="str">
        <x:v>Air Fryer vs Convection Oven</x:v>
      </x:c>
      <x:c r="F66"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6" s="95" t="str">
        <x:v>Direct winner by use case; structured difference table; category-by-category winners; no forced single winner; concise decision summary.</x:v>
      </x:c>
      <x:c r="H66" s="95" t="str">
        <x:v>At-a-glance comparison; category winners; specifications</x:v>
      </x:c>
      <x:c r="I66" s="95" t="str">
        <x:v>Separate clearly labelled CTA for each product; do not bias without evidence</x:v>
      </x:c>
      <x:c r="J66" s="101" t="str">
        <x:v>Use 4–8 visible, non-repetitive questions. Answer each in 40–80 words. Add schema only when valid and useful.</x:v>
      </x:c>
    </x:row>
    <x:row r="67">
      <x:c r="A67" s="100" t="str">
        <x:v>AF-C07</x:v>
      </x:c>
      <x:c r="B67" s="95" t="str">
        <x:v>P2</x:v>
      </x:c>
      <x:c r="C67" s="95" t="str">
        <x:v>Comparison</x:v>
      </x:c>
      <x:c r="D67" s="95" t="str">
        <x:v>air fryer vs toaster oven</x:v>
      </x:c>
      <x:c r="E67" s="95" t="str">
        <x:v>Air Fryer vs Toaster Oven</x:v>
      </x:c>
      <x:c r="F67"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7" s="95" t="str">
        <x:v>Direct winner by use case; structured difference table; category-by-category winners; no forced single winner; concise decision summary.</x:v>
      </x:c>
      <x:c r="H67" s="95" t="str">
        <x:v>At-a-glance comparison; category winners; specifications</x:v>
      </x:c>
      <x:c r="I67" s="95" t="str">
        <x:v>Separate clearly labelled CTA for each product; do not bias without evidence</x:v>
      </x:c>
      <x:c r="J67" s="101" t="str">
        <x:v>Use 4–8 visible, non-repetitive questions. Answer each in 40–80 words. Add schema only when valid and useful.</x:v>
      </x:c>
    </x:row>
    <x:row r="68">
      <x:c r="A68" s="100" t="str">
        <x:v>BL-C03</x:v>
      </x:c>
      <x:c r="B68" s="95" t="str">
        <x:v>P2</x:v>
      </x:c>
      <x:c r="C68" s="95" t="str">
        <x:v>Comparison</x:v>
      </x:c>
      <x:c r="D68" s="95" t="str">
        <x:v>personal blender vs full size blender</x:v>
      </x:c>
      <x:c r="E68" s="95" t="str">
        <x:v>Personal Blender vs Full-Size Blender</x:v>
      </x:c>
      <x:c r="F68"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8" s="95" t="str">
        <x:v>Direct winner by use case; structured difference table; category-by-category winners; no forced single winner; concise decision summary.</x:v>
      </x:c>
      <x:c r="H68" s="95" t="str">
        <x:v>At-a-glance comparison; category winners; specifications</x:v>
      </x:c>
      <x:c r="I68" s="95" t="str">
        <x:v>Separate clearly labelled CTA for each product; do not bias without evidence</x:v>
      </x:c>
      <x:c r="J68" s="101" t="str">
        <x:v>Use 4–8 visible, non-repetitive questions. Answer each in 40–80 words. Add schema only when valid and useful.</x:v>
      </x:c>
    </x:row>
    <x:row r="69">
      <x:c r="A69" s="100" t="str">
        <x:v>BL-C04</x:v>
      </x:c>
      <x:c r="B69" s="95" t="str">
        <x:v>P2</x:v>
      </x:c>
      <x:c r="C69" s="95" t="str">
        <x:v>Comparison</x:v>
      </x:c>
      <x:c r="D69" s="95" t="str">
        <x:v>glass vs plastic blender jar</x:v>
      </x:c>
      <x:c r="E69" s="95" t="str">
        <x:v>Glass vs Plastic Blender Jar</x:v>
      </x:c>
      <x:c r="F69"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69" s="95" t="str">
        <x:v>Direct winner by use case; structured difference table; category-by-category winners; no forced single winner; concise decision summary.</x:v>
      </x:c>
      <x:c r="H69" s="95" t="str">
        <x:v>At-a-glance comparison; category winners; specifications</x:v>
      </x:c>
      <x:c r="I69" s="95" t="str">
        <x:v>Separate clearly labelled CTA for each product; do not bias without evidence</x:v>
      </x:c>
      <x:c r="J69" s="101" t="str">
        <x:v>Use 4–8 visible, non-repetitive questions. Answer each in 40–80 words. Add schema only when valid and useful.</x:v>
      </x:c>
    </x:row>
    <x:row r="70">
      <x:c r="A70" s="100" t="str">
        <x:v>BL-C05</x:v>
      </x:c>
      <x:c r="B70" s="95" t="str">
        <x:v>P2</x:v>
      </x:c>
      <x:c r="C70" s="95" t="str">
        <x:v>Comparison</x:v>
      </x:c>
      <x:c r="D70" s="95" t="str">
        <x:v>1000 watt vs 1500 watt blender</x:v>
      </x:c>
      <x:c r="E70" s="95" t="str">
        <x:v>1000-Watt vs 1500-Watt Blender</x:v>
      </x:c>
      <x:c r="F70"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0" s="95" t="str">
        <x:v>Direct winner by use case; structured difference table; category-by-category winners; no forced single winner; concise decision summary.</x:v>
      </x:c>
      <x:c r="H70" s="95" t="str">
        <x:v>At-a-glance comparison; category winners; specifications</x:v>
      </x:c>
      <x:c r="I70" s="95" t="str">
        <x:v>Separate clearly labelled CTA for each product; do not bias without evidence</x:v>
      </x:c>
      <x:c r="J70" s="101" t="str">
        <x:v>Use 4–8 visible, non-repetitive questions. Answer each in 40–80 words. Add schema only when valid and useful.</x:v>
      </x:c>
    </x:row>
    <x:row r="71">
      <x:c r="A71" s="100" t="str">
        <x:v>EK-C01</x:v>
      </x:c>
      <x:c r="B71" s="95" t="str">
        <x:v>P2</x:v>
      </x:c>
      <x:c r="C71" s="95" t="str">
        <x:v>Comparison</x:v>
      </x:c>
      <x:c r="D71" s="95" t="str">
        <x:v>gooseneck vs regular kettle</x:v>
      </x:c>
      <x:c r="E71" s="95" t="str">
        <x:v>Gooseneck vs Regular Kettle</x:v>
      </x:c>
      <x:c r="F71"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1" s="95" t="str">
        <x:v>Direct winner by use case; structured difference table; category-by-category winners; no forced single winner; concise decision summary.</x:v>
      </x:c>
      <x:c r="H71" s="95" t="str">
        <x:v>At-a-glance comparison; category winners; specifications</x:v>
      </x:c>
      <x:c r="I71" s="95" t="str">
        <x:v>Separate clearly labelled CTA for each product; do not bias without evidence</x:v>
      </x:c>
      <x:c r="J71" s="101" t="str">
        <x:v>Use 4–8 visible, non-repetitive questions. Answer each in 40–80 words. Add schema only when valid and useful.</x:v>
      </x:c>
    </x:row>
    <x:row r="72">
      <x:c r="A72" s="100" t="str">
        <x:v>EK-C04</x:v>
      </x:c>
      <x:c r="B72" s="95" t="str">
        <x:v>P2</x:v>
      </x:c>
      <x:c r="C72" s="95" t="str">
        <x:v>Comparison</x:v>
      </x:c>
      <x:c r="D72" s="95" t="str">
        <x:v>electric kettle vs stovetop kettle</x:v>
      </x:c>
      <x:c r="E72" s="95" t="str">
        <x:v>Electric Kettle vs Stovetop Kettle</x:v>
      </x:c>
      <x:c r="F72"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2" s="95" t="str">
        <x:v>Direct winner by use case; structured difference table; category-by-category winners; no forced single winner; concise decision summary.</x:v>
      </x:c>
      <x:c r="H72" s="95" t="str">
        <x:v>At-a-glance comparison; category winners; specifications</x:v>
      </x:c>
      <x:c r="I72" s="95" t="str">
        <x:v>Separate clearly labelled CTA for each product; do not bias without evidence</x:v>
      </x:c>
      <x:c r="J72" s="101" t="str">
        <x:v>Use 4–8 visible, non-repetitive questions. Answer each in 40–80 words. Add schema only when valid and useful.</x:v>
      </x:c>
    </x:row>
    <x:row r="73">
      <x:c r="A73" s="100" t="str">
        <x:v>FP-C03</x:v>
      </x:c>
      <x:c r="B73" s="95" t="str">
        <x:v>P2</x:v>
      </x:c>
      <x:c r="C73" s="95" t="str">
        <x:v>Comparison</x:v>
      </x:c>
      <x:c r="D73" s="95" t="str">
        <x:v>food processor vs blender</x:v>
      </x:c>
      <x:c r="E73" s="95" t="str">
        <x:v>Food Processor vs Blender</x:v>
      </x:c>
      <x:c r="F73"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3" s="95" t="str">
        <x:v>Direct winner by use case; structured difference table; category-by-category winners; no forced single winner; concise decision summary.</x:v>
      </x:c>
      <x:c r="H73" s="95" t="str">
        <x:v>At-a-glance comparison; category winners; specifications</x:v>
      </x:c>
      <x:c r="I73" s="95" t="str">
        <x:v>Separate clearly labelled CTA for each product; do not bias without evidence</x:v>
      </x:c>
      <x:c r="J73" s="101" t="str">
        <x:v>Use 4–8 visible, non-repetitive questions. Answer each in 40–80 words. Add schema only when valid and useful.</x:v>
      </x:c>
    </x:row>
    <x:row r="74">
      <x:c r="A74" s="100" t="str">
        <x:v>TO-C01</x:v>
      </x:c>
      <x:c r="B74" s="95" t="str">
        <x:v>P2</x:v>
      </x:c>
      <x:c r="C74" s="95" t="str">
        <x:v>Comparison</x:v>
      </x:c>
      <x:c r="D74" s="95" t="str">
        <x:v>toaster oven vs conventional oven</x:v>
      </x:c>
      <x:c r="E74" s="95" t="str">
        <x:v>Toaster Oven vs Conventional Oven</x:v>
      </x:c>
      <x:c r="F74"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4" s="95" t="str">
        <x:v>Direct winner by use case; structured difference table; category-by-category winners; no forced single winner; concise decision summary.</x:v>
      </x:c>
      <x:c r="H74" s="95" t="str">
        <x:v>At-a-glance comparison; category winners; specifications</x:v>
      </x:c>
      <x:c r="I74" s="95" t="str">
        <x:v>Separate clearly labelled CTA for each product; do not bias without evidence</x:v>
      </x:c>
      <x:c r="J74" s="101" t="str">
        <x:v>Use 4–8 visible, non-repetitive questions. Answer each in 40–80 words. Add schema only when valid and useful.</x:v>
      </x:c>
    </x:row>
    <x:row r="75">
      <x:c r="A75" s="100" t="str">
        <x:v>TO-C02</x:v>
      </x:c>
      <x:c r="B75" s="95" t="str">
        <x:v>P2</x:v>
      </x:c>
      <x:c r="C75" s="95" t="str">
        <x:v>Comparison</x:v>
      </x:c>
      <x:c r="D75" s="95" t="str">
        <x:v>convection toaster oven vs air fryer</x:v>
      </x:c>
      <x:c r="E75" s="95" t="str">
        <x:v>Convection Toaster Oven vs Air Fryer</x:v>
      </x:c>
      <x:c r="F75"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75" s="95" t="str">
        <x:v>Direct winner by use case; structured difference table; category-by-category winners; no forced single winner; concise decision summary.</x:v>
      </x:c>
      <x:c r="H75" s="95" t="str">
        <x:v>At-a-glance comparison; category winners; specifications</x:v>
      </x:c>
      <x:c r="I75" s="95" t="str">
        <x:v>Separate clearly labelled CTA for each product; do not bias without evidence</x:v>
      </x:c>
      <x:c r="J75" s="101" t="str">
        <x:v>Use 4–8 visible, non-repetitive questions. Answer each in 40–80 words. Add schema only when valid and useful.</x:v>
      </x:c>
    </x:row>
    <x:row r="76">
      <x:c r="A76" s="100" t="str">
        <x:v>AF-V03</x:v>
      </x:c>
      <x:c r="B76" s="95" t="str">
        <x:v>P2</x:v>
      </x:c>
      <x:c r="C76" s="95" t="str">
        <x:v>Single Review</x:v>
      </x:c>
      <x:c r="D76" s="95" t="str">
        <x:v>instant vortex plus air fryer review</x:v>
      </x:c>
      <x:c r="E76" s="95" t="str">
        <x:v>Instant Vortex Plus Air Fryer Review</x:v>
      </x:c>
      <x:c r="F76"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76" s="95" t="str">
        <x:v>One-paragraph verdict; scorecard with measurable criteria; evidence notes; pros/cons; alternatives; buy-if/skip-if; dated review update.</x:v>
      </x:c>
      <x:c r="H76" s="95" t="str">
        <x:v>Specs; scorecard; pros/cons; alternatives comparison</x:v>
      </x:c>
      <x:c r="I76" s="95" t="str">
        <x:v>Primary product CTA after verdict and value section; alternatives each get separate CTA</x:v>
      </x:c>
      <x:c r="J76" s="101" t="str">
        <x:v>Use 4–8 visible, non-repetitive questions. Answer each in 40–80 words. Add schema only when valid and useful.</x:v>
      </x:c>
    </x:row>
    <x:row r="77">
      <x:c r="A77" s="100" t="str">
        <x:v>AF-V04</x:v>
      </x:c>
      <x:c r="B77" s="95" t="str">
        <x:v>P2</x:v>
      </x:c>
      <x:c r="C77" s="95" t="str">
        <x:v>Single Review</x:v>
      </x:c>
      <x:c r="D77" s="95" t="str">
        <x:v>ninja foodi dualzone review</x:v>
      </x:c>
      <x:c r="E77" s="95" t="str">
        <x:v>Ninja Foodi DualZone Air Fryer Review</x:v>
      </x:c>
      <x:c r="F77"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77" s="95" t="str">
        <x:v>One-paragraph verdict; scorecard with measurable criteria; evidence notes; pros/cons; alternatives; buy-if/skip-if; dated review update.</x:v>
      </x:c>
      <x:c r="H77" s="95" t="str">
        <x:v>Specs; scorecard; pros/cons; alternatives comparison</x:v>
      </x:c>
      <x:c r="I77" s="95" t="str">
        <x:v>Primary product CTA after verdict and value section; alternatives each get separate CTA</x:v>
      </x:c>
      <x:c r="J77" s="101" t="str">
        <x:v>Use 4–8 visible, non-repetitive questions. Answer each in 40–80 words. Add schema only when valid and useful.</x:v>
      </x:c>
    </x:row>
    <x:row r="78">
      <x:c r="A78" s="100" t="str">
        <x:v>AF-V05</x:v>
      </x:c>
      <x:c r="B78" s="95" t="str">
        <x:v>P2</x:v>
      </x:c>
      <x:c r="C78" s="95" t="str">
        <x:v>Single Review</x:v>
      </x:c>
      <x:c r="D78" s="95" t="str">
        <x:v>cuisinart air fryer toaster oven review</x:v>
      </x:c>
      <x:c r="E78" s="95" t="str">
        <x:v>Cuisinart Air Fryer Toaster Oven Review</x:v>
      </x:c>
      <x:c r="F78"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78" s="95" t="str">
        <x:v>One-paragraph verdict; scorecard with measurable criteria; evidence notes; pros/cons; alternatives; buy-if/skip-if; dated review update.</x:v>
      </x:c>
      <x:c r="H78" s="95" t="str">
        <x:v>Specs; scorecard; pros/cons; alternatives comparison</x:v>
      </x:c>
      <x:c r="I78" s="95" t="str">
        <x:v>Primary product CTA after verdict and value section; alternatives each get separate CTA</x:v>
      </x:c>
      <x:c r="J78" s="101" t="str">
        <x:v>Use 4–8 visible, non-repetitive questions. Answer each in 40–80 words. Add schema only when valid and useful.</x:v>
      </x:c>
    </x:row>
    <x:row r="79">
      <x:c r="A79" s="100" t="str">
        <x:v>BL-V03</x:v>
      </x:c>
      <x:c r="B79" s="95" t="str">
        <x:v>P2</x:v>
      </x:c>
      <x:c r="C79" s="95" t="str">
        <x:v>Single Review</x:v>
      </x:c>
      <x:c r="D79" s="95" t="str">
        <x:v>vitamix e310 review</x:v>
      </x:c>
      <x:c r="E79" s="95" t="str">
        <x:v>Vitamix E310 Review</x:v>
      </x:c>
      <x:c r="F79"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79" s="95" t="str">
        <x:v>One-paragraph verdict; scorecard with measurable criteria; evidence notes; pros/cons; alternatives; buy-if/skip-if; dated review update.</x:v>
      </x:c>
      <x:c r="H79" s="95" t="str">
        <x:v>Specs; scorecard; pros/cons; alternatives comparison</x:v>
      </x:c>
      <x:c r="I79" s="95" t="str">
        <x:v>Primary product CTA after verdict and value section; alternatives each get separate CTA</x:v>
      </x:c>
      <x:c r="J79" s="101" t="str">
        <x:v>Use 4–8 visible, non-repetitive questions. Answer each in 40–80 words. Add schema only when valid and useful.</x:v>
      </x:c>
    </x:row>
    <x:row r="80">
      <x:c r="A80" s="100" t="str">
        <x:v>BL-V04</x:v>
      </x:c>
      <x:c r="B80" s="95" t="str">
        <x:v>P2</x:v>
      </x:c>
      <x:c r="C80" s="95" t="str">
        <x:v>Single Review</x:v>
      </x:c>
      <x:c r="D80" s="95" t="str">
        <x:v>ninja foodi power blender review</x:v>
      </x:c>
      <x:c r="E80" s="95" t="str">
        <x:v>Ninja Foodi Power Blender Review</x:v>
      </x:c>
      <x:c r="F80"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80" s="95" t="str">
        <x:v>One-paragraph verdict; scorecard with measurable criteria; evidence notes; pros/cons; alternatives; buy-if/skip-if; dated review update.</x:v>
      </x:c>
      <x:c r="H80" s="95" t="str">
        <x:v>Specs; scorecard; pros/cons; alternatives comparison</x:v>
      </x:c>
      <x:c r="I80" s="95" t="str">
        <x:v>Primary product CTA after verdict and value section; alternatives each get separate CTA</x:v>
      </x:c>
      <x:c r="J80" s="101" t="str">
        <x:v>Use 4–8 visible, non-repetitive questions. Answer each in 40–80 words. Add schema only when valid and useful.</x:v>
      </x:c>
    </x:row>
    <x:row r="81">
      <x:c r="A81" s="100" t="str">
        <x:v>EK-V01</x:v>
      </x:c>
      <x:c r="B81" s="95" t="str">
        <x:v>P2</x:v>
      </x:c>
      <x:c r="C81" s="95" t="str">
        <x:v>Single Review</x:v>
      </x:c>
      <x:c r="D81" s="95" t="str">
        <x:v>fellow stagg ekg review</x:v>
      </x:c>
      <x:c r="E81" s="95" t="str">
        <x:v>Fellow Stagg EKG Review</x:v>
      </x:c>
      <x:c r="F81"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81" s="95" t="str">
        <x:v>One-paragraph verdict; scorecard with measurable criteria; evidence notes; pros/cons; alternatives; buy-if/skip-if; dated review update.</x:v>
      </x:c>
      <x:c r="H81" s="95" t="str">
        <x:v>Specs; scorecard; pros/cons; alternatives comparison</x:v>
      </x:c>
      <x:c r="I81" s="95" t="str">
        <x:v>Primary product CTA after verdict and value section; alternatives each get separate CTA</x:v>
      </x:c>
      <x:c r="J81" s="101" t="str">
        <x:v>Use 4–8 visible, non-repetitive questions. Answer each in 40–80 words. Add schema only when valid and useful.</x:v>
      </x:c>
    </x:row>
    <x:row r="82">
      <x:c r="A82" s="100" t="str">
        <x:v>TO-V01</x:v>
      </x:c>
      <x:c r="B82" s="95" t="str">
        <x:v>P2</x:v>
      </x:c>
      <x:c r="C82" s="95" t="str">
        <x:v>Single Review</x:v>
      </x:c>
      <x:c r="D82" s="95" t="str">
        <x:v>breville smart oven air fryer pro review</x:v>
      </x:c>
      <x:c r="E82" s="95" t="str">
        <x:v>Breville Smart Oven Air Fryer Pro Review</x:v>
      </x:c>
      <x:c r="F82"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82" s="95" t="str">
        <x:v>One-paragraph verdict; scorecard with measurable criteria; evidence notes; pros/cons; alternatives; buy-if/skip-if; dated review update.</x:v>
      </x:c>
      <x:c r="H82" s="95" t="str">
        <x:v>Specs; scorecard; pros/cons; alternatives comparison</x:v>
      </x:c>
      <x:c r="I82" s="95" t="str">
        <x:v>Primary product CTA after verdict and value section; alternatives each get separate CTA</x:v>
      </x:c>
      <x:c r="J82" s="101" t="str">
        <x:v>Use 4–8 visible, non-repetitive questions. Answer each in 40–80 words. Add schema only when valid and useful.</x:v>
      </x:c>
    </x:row>
    <x:row r="83">
      <x:c r="A83" s="100" t="str">
        <x:v>BL-G03</x:v>
      </x:c>
      <x:c r="B83" s="95" t="str">
        <x:v>P2</x:v>
      </x:c>
      <x:c r="C83" s="95" t="str">
        <x:v>Buying Guide</x:v>
      </x:c>
      <x:c r="D83" s="95" t="str">
        <x:v>how to choose a blender for smoothies</x:v>
      </x:c>
      <x:c r="E83" s="95" t="str">
        <x:v>How to Choose a Blender for Smoothies</x:v>
      </x:c>
      <x:c r="F83"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83" s="95" t="str">
        <x:v>Definition and direct recommendation; criteria table; ranges and thresholds; decision tree; mistakes; links to commercial pages; concise FAQs.</x:v>
      </x:c>
      <x:c r="H83" s="95" t="str">
        <x:v>Feature thresholds; size/capacity chart; decision tree</x:v>
      </x:c>
      <x:c r="I83" s="95" t="str">
        <x:v>Contextual links to 2–4 relevant roundups/reviews</x:v>
      </x:c>
      <x:c r="J83" s="101" t="str">
        <x:v>Use 4–8 visible, non-repetitive questions. Answer each in 40–80 words. Add schema only when valid and useful.</x:v>
      </x:c>
    </x:row>
    <x:row r="84">
      <x:c r="A84" s="100" t="str">
        <x:v>CC-G04</x:v>
      </x:c>
      <x:c r="B84" s="95" t="str">
        <x:v>P2</x:v>
      </x:c>
      <x:c r="C84" s="95" t="str">
        <x:v>Buying Guide</x:v>
      </x:c>
      <x:c r="D84" s="95" t="str">
        <x:v>food safe kitchen appliance materials</x:v>
      </x:c>
      <x:c r="E84" s="95" t="str">
        <x:v>How to Choose BPA-Free and Food-Safe Appliance Materials</x:v>
      </x:c>
      <x:c r="F84"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84" s="95" t="str">
        <x:v>Definition and direct recommendation; criteria table; ranges and thresholds; decision tree; mistakes; links to commercial pages; concise FAQs.</x:v>
      </x:c>
      <x:c r="H84" s="95" t="str">
        <x:v>Feature thresholds; size/capacity chart; decision tree</x:v>
      </x:c>
      <x:c r="I84" s="95" t="str">
        <x:v>Contextual links to 2–4 relevant roundups/reviews</x:v>
      </x:c>
      <x:c r="J84" s="101" t="str">
        <x:v>Use 4–8 visible, non-repetitive questions. Answer each in 40–80 words. Add schema only when valid and useful.</x:v>
      </x:c>
    </x:row>
    <x:row r="85">
      <x:c r="A85" s="100" t="str">
        <x:v>EK-G01</x:v>
      </x:c>
      <x:c r="B85" s="95" t="str">
        <x:v>P2</x:v>
      </x:c>
      <x:c r="C85" s="95" t="str">
        <x:v>Buying Guide</x:v>
      </x:c>
      <x:c r="D85" s="95" t="str">
        <x:v>electric kettle buying guide</x:v>
      </x:c>
      <x:c r="E85" s="95" t="str">
        <x:v>Electric Kettle Buying Guide</x:v>
      </x:c>
      <x:c r="F85"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85" s="95" t="str">
        <x:v>Definition and direct recommendation; criteria table; ranges and thresholds; decision tree; mistakes; links to commercial pages; concise FAQs.</x:v>
      </x:c>
      <x:c r="H85" s="95" t="str">
        <x:v>Feature thresholds; size/capacity chart; decision tree</x:v>
      </x:c>
      <x:c r="I85" s="95" t="str">
        <x:v>Contextual links to 2–4 relevant roundups/reviews</x:v>
      </x:c>
      <x:c r="J85" s="101" t="str">
        <x:v>Use 4–8 visible, non-repetitive questions. Answer each in 40–80 words. Add schema only when valid and useful.</x:v>
      </x:c>
    </x:row>
    <x:row r="86">
      <x:c r="A86" s="100" t="str">
        <x:v>TO-G01</x:v>
      </x:c>
      <x:c r="B86" s="95" t="str">
        <x:v>P2</x:v>
      </x:c>
      <x:c r="C86" s="95" t="str">
        <x:v>Buying Guide</x:v>
      </x:c>
      <x:c r="D86" s="95" t="str">
        <x:v>toaster oven buying guide</x:v>
      </x:c>
      <x:c r="E86" s="95" t="str">
        <x:v>Toaster Oven Buying Guide</x:v>
      </x:c>
      <x:c r="F86"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86" s="95" t="str">
        <x:v>Definition and direct recommendation; criteria table; ranges and thresholds; decision tree; mistakes; links to commercial pages; concise FAQs.</x:v>
      </x:c>
      <x:c r="H86" s="95" t="str">
        <x:v>Feature thresholds; size/capacity chart; decision tree</x:v>
      </x:c>
      <x:c r="I86" s="95" t="str">
        <x:v>Contextual links to 2–4 relevant roundups/reviews</x:v>
      </x:c>
      <x:c r="J86" s="101" t="str">
        <x:v>Use 4–8 visible, non-repetitive questions. Answer each in 40–80 words. Add schema only when valid and useful.</x:v>
      </x:c>
    </x:row>
    <x:row r="87">
      <x:c r="A87" s="100" t="str">
        <x:v>AF-R20</x:v>
      </x:c>
      <x:c r="B87" s="95" t="str">
        <x:v>P2</x:v>
      </x:c>
      <x:c r="C87" s="95" t="str">
        <x:v>Accessory Roundup</x:v>
      </x:c>
      <x:c r="D87" s="95" t="str">
        <x:v>best air fryer accessories</x:v>
      </x:c>
      <x:c r="E87" s="95" t="str">
        <x:v>Best Air Fryer Accessories</x:v>
      </x:c>
      <x:c r="F87" s="95" t="str">
        <x:v>Quick picks | Comparison table | How we chose these products | Best overall option for best air fryer accessories | Best budget option | Best premium option | Other strong options by use case | Detailed product evaluations | How to choose | Common buying mistakes | Frequently asked questions</x:v>
      </x:c>
      <x:c r="G87" s="95" t="str">
        <x:v>50-word direct answer; ranked list; decision matrix; explicit selection logic; pros/cons; audience fit; concise FAQ answers.</x:v>
      </x:c>
      <x:c r="H87" s="95" t="str">
        <x:v>Top picks table; full comparison table; selection criteria table; optional size/value decision table</x:v>
      </x:c>
      <x:c r="I87" s="95" t="str">
        <x:v>Disclosure → Check price on Amazon; contextual CTA after verdict; alternatives link</x:v>
      </x:c>
      <x:c r="J87" s="101" t="str">
        <x:v>Use 4–8 visible, non-repetitive questions. Answer each in 40–80 words. Add schema only when valid and useful.</x:v>
      </x:c>
    </x:row>
    <x:row r="88">
      <x:c r="A88" s="100" t="str">
        <x:v>CC-G06</x:v>
      </x:c>
      <x:c r="B88" s="95" t="str">
        <x:v>P2</x:v>
      </x:c>
      <x:c r="C88" s="95" t="str">
        <x:v>Accessory Roundup</x:v>
      </x:c>
      <x:c r="D88" s="95" t="str">
        <x:v>best heat resistant counter mat</x:v>
      </x:c>
      <x:c r="E88" s="95" t="str">
        <x:v>Best Heat-Resistant Counter Mats for Kitchen Appliances</x:v>
      </x:c>
      <x:c r="F88" s="95" t="str">
        <x:v>Quick picks | Comparison table | How we chose these products | Best overall option for best heat resistant counter mat | Best budget option | Best premium option | Other strong options by use case | Detailed product evaluations | How to choose | Common buying mistakes | Frequently asked questions</x:v>
      </x:c>
      <x:c r="G88" s="95" t="str">
        <x:v>50-word direct answer; ranked list; decision matrix; explicit selection logic; pros/cons; audience fit; concise FAQ answers.</x:v>
      </x:c>
      <x:c r="H88" s="95" t="str">
        <x:v>Top picks table; full comparison table; selection criteria table; optional size/value decision table</x:v>
      </x:c>
      <x:c r="I88" s="95" t="str">
        <x:v>Disclosure → Check price on Amazon; contextual CTA after verdict; alternatives link</x:v>
      </x:c>
      <x:c r="J88" s="101" t="str">
        <x:v>Use 4–8 visible, non-repetitive questions. Answer each in 40–80 words. Add schema only when valid and useful.</x:v>
      </x:c>
    </x:row>
    <x:row r="89">
      <x:c r="A89" s="100" t="str">
        <x:v>AF-G03</x:v>
      </x:c>
      <x:c r="B89" s="95" t="str">
        <x:v>P2</x:v>
      </x:c>
      <x:c r="C89" s="95" t="str">
        <x:v>Informational</x:v>
      </x:c>
      <x:c r="D89" s="95" t="str">
        <x:v>how many watts does an air fryer use</x:v>
      </x:c>
      <x:c r="E89" s="95" t="str">
        <x:v>How Many Watts Does an Air Fryer Use?</x:v>
      </x:c>
      <x:c r="F89" s="95" t="str">
        <x:v>Direct answer | Why this happens or why it matters | Key factors that change the answer | Practical examples | What to do next | Important limitations and safety notes | Related product recommendations | Frequently asked questions</x:v>
      </x:c>
      <x:c r="G89" s="95" t="str">
        <x:v>40–60 word direct answer; definitions; conditions/exceptions; practical table; next-step recommendation; concise FAQs.</x:v>
      </x:c>
      <x:c r="H89" s="95" t="str">
        <x:v>Answer/condition table or troubleshooting table where useful</x:v>
      </x:c>
      <x:c r="I89" s="95" t="str">
        <x:v>Only contextual affiliate links when genuinely helpful</x:v>
      </x:c>
      <x:c r="J89" s="101" t="str">
        <x:v>Use 4–8 visible, non-repetitive questions. Answer each in 40–80 words. Add schema only when valid and useful.</x:v>
      </x:c>
    </x:row>
    <x:row r="90">
      <x:c r="A90" s="100" t="str">
        <x:v>AF-G04</x:v>
      </x:c>
      <x:c r="B90" s="95" t="str">
        <x:v>P2</x:v>
      </x:c>
      <x:c r="C90" s="95" t="str">
        <x:v>Informational</x:v>
      </x:c>
      <x:c r="D90" s="95" t="str">
        <x:v>do you need to preheat an air fryer</x:v>
      </x:c>
      <x:c r="E90" s="95" t="str">
        <x:v>Do You Need to Preheat an Air Fryer?</x:v>
      </x:c>
      <x:c r="F90" s="95" t="str">
        <x:v>Direct answer | Why this happens or why it matters | Key factors that change the answer | Practical examples | What to do next | Important limitations and safety notes | Related product recommendations | Frequently asked questions</x:v>
      </x:c>
      <x:c r="G90" s="95" t="str">
        <x:v>40–60 word direct answer; definitions; conditions/exceptions; practical table; next-step recommendation; concise FAQs.</x:v>
      </x:c>
      <x:c r="H90" s="95" t="str">
        <x:v>Answer/condition table or troubleshooting table where useful</x:v>
      </x:c>
      <x:c r="I90" s="95" t="str">
        <x:v>Only contextual affiliate links when genuinely helpful</x:v>
      </x:c>
      <x:c r="J90" s="101" t="str">
        <x:v>Use 4–8 visible, non-repetitive questions. Answer each in 40–80 words. Add schema only when valid and useful.</x:v>
      </x:c>
    </x:row>
    <x:row r="91">
      <x:c r="A91" s="100" t="str">
        <x:v>AF-G05</x:v>
      </x:c>
      <x:c r="B91" s="95" t="str">
        <x:v>P2</x:v>
      </x:c>
      <x:c r="C91" s="95" t="str">
        <x:v>Informational</x:v>
      </x:c>
      <x:c r="D91" s="95" t="str">
        <x:v>can you put foil in an air fryer</x:v>
      </x:c>
      <x:c r="E91" s="95" t="str">
        <x:v>Can You Put Foil in an Air Fryer?</x:v>
      </x:c>
      <x:c r="F91" s="95" t="str">
        <x:v>Direct answer | Why this happens or why it matters | Key factors that change the answer | Practical examples | What to do next | Important limitations and safety notes | Related product recommendations | Frequently asked questions</x:v>
      </x:c>
      <x:c r="G91" s="95" t="str">
        <x:v>40–60 word direct answer; definitions; conditions/exceptions; practical table; next-step recommendation; concise FAQs.</x:v>
      </x:c>
      <x:c r="H91" s="95" t="str">
        <x:v>Answer/condition table or troubleshooting table where useful</x:v>
      </x:c>
      <x:c r="I91" s="95" t="str">
        <x:v>Only contextual affiliate links when genuinely helpful</x:v>
      </x:c>
      <x:c r="J91" s="101" t="str">
        <x:v>Use 4–8 visible, non-repetitive questions. Answer each in 40–80 words. Add schema only when valid and useful.</x:v>
      </x:c>
    </x:row>
    <x:row r="92">
      <x:c r="A92" s="100" t="str">
        <x:v>AF-G06</x:v>
      </x:c>
      <x:c r="B92" s="95" t="str">
        <x:v>P2</x:v>
      </x:c>
      <x:c r="C92" s="95" t="str">
        <x:v>Informational</x:v>
      </x:c>
      <x:c r="D92" s="95" t="str">
        <x:v>can you put parchment paper in an air fryer</x:v>
      </x:c>
      <x:c r="E92" s="95" t="str">
        <x:v>Can You Put Parchment Paper in an Air Fryer?</x:v>
      </x:c>
      <x:c r="F92" s="95" t="str">
        <x:v>Direct answer | Why this happens or why it matters | Key factors that change the answer | Practical examples | What to do next | Important limitations and safety notes | Related product recommendations | Frequently asked questions</x:v>
      </x:c>
      <x:c r="G92" s="95" t="str">
        <x:v>40–60 word direct answer; definitions; conditions/exceptions; practical table; next-step recommendation; concise FAQs.</x:v>
      </x:c>
      <x:c r="H92" s="95" t="str">
        <x:v>Answer/condition table or troubleshooting table where useful</x:v>
      </x:c>
      <x:c r="I92" s="95" t="str">
        <x:v>Only contextual affiliate links when genuinely helpful</x:v>
      </x:c>
      <x:c r="J92" s="101" t="str">
        <x:v>Use 4–8 visible, non-repetitive questions. Answer each in 40–80 words. Add schema only when valid and useful.</x:v>
      </x:c>
    </x:row>
    <x:row r="93">
      <x:c r="A93" s="100" t="str">
        <x:v>AF-G09</x:v>
      </x:c>
      <x:c r="B93" s="95" t="str">
        <x:v>P2</x:v>
      </x:c>
      <x:c r="C93" s="95" t="str">
        <x:v>Informational</x:v>
      </x:c>
      <x:c r="D93" s="95" t="str">
        <x:v>are air fryers worth it</x:v>
      </x:c>
      <x:c r="E93" s="95" t="str">
        <x:v>Are Air Fryers Worth It?</x:v>
      </x:c>
      <x:c r="F93" s="95" t="str">
        <x:v>Direct answer | Why this happens or why it matters | Key factors that change the answer | Practical examples | What to do next | Important limitations and safety notes | Related product recommendations | Frequently asked questions</x:v>
      </x:c>
      <x:c r="G93" s="95" t="str">
        <x:v>40–60 word direct answer; definitions; conditions/exceptions; practical table; next-step recommendation; concise FAQs.</x:v>
      </x:c>
      <x:c r="H93" s="95" t="str">
        <x:v>Answer/condition table or troubleshooting table where useful</x:v>
      </x:c>
      <x:c r="I93" s="95" t="str">
        <x:v>Only contextual affiliate links when genuinely helpful</x:v>
      </x:c>
      <x:c r="J93" s="101" t="str">
        <x:v>Use 4–8 visible, non-repetitive questions. Answer each in 40–80 words. Add schema only when valid and useful.</x:v>
      </x:c>
    </x:row>
    <x:row r="94">
      <x:c r="A94" s="100" t="str">
        <x:v>BL-G02</x:v>
      </x:c>
      <x:c r="B94" s="95" t="str">
        <x:v>P2</x:v>
      </x:c>
      <x:c r="C94" s="95" t="str">
        <x:v>Informational</x:v>
      </x:c>
      <x:c r="D94" s="95" t="str">
        <x:v>how many watts should a blender have</x:v>
      </x:c>
      <x:c r="E94" s="95" t="str">
        <x:v>How Many Watts Should a Blender Have?</x:v>
      </x:c>
      <x:c r="F94" s="95" t="str">
        <x:v>Direct answer | Why this happens or why it matters | Key factors that change the answer | Practical examples | What to do next | Important limitations and safety notes | Related product recommendations | Frequently asked questions</x:v>
      </x:c>
      <x:c r="G94" s="95" t="str">
        <x:v>40–60 word direct answer; definitions; conditions/exceptions; practical table; next-step recommendation; concise FAQs.</x:v>
      </x:c>
      <x:c r="H94" s="95" t="str">
        <x:v>Answer/condition table or troubleshooting table where useful</x:v>
      </x:c>
      <x:c r="I94" s="95" t="str">
        <x:v>Only contextual affiliate links when genuinely helpful</x:v>
      </x:c>
      <x:c r="J94" s="101" t="str">
        <x:v>Use 4–8 visible, non-repetitive questions. Answer each in 40–80 words. Add schema only when valid and useful.</x:v>
      </x:c>
    </x:row>
    <x:row r="95">
      <x:c r="A95" s="100" t="str">
        <x:v>BL-G07</x:v>
      </x:c>
      <x:c r="B95" s="95" t="str">
        <x:v>P2</x:v>
      </x:c>
      <x:c r="C95" s="95" t="str">
        <x:v>Informational</x:v>
      </x:c>
      <x:c r="D95" s="95" t="str">
        <x:v>can a blender crush ice</x:v>
      </x:c>
      <x:c r="E95" s="95" t="str">
        <x:v>Can a Blender Crush Ice?</x:v>
      </x:c>
      <x:c r="F95" s="95" t="str">
        <x:v>Direct answer | Why this happens or why it matters | Key factors that change the answer | Practical examples | What to do next | Important limitations and safety notes | Related product recommendations | Frequently asked questions</x:v>
      </x:c>
      <x:c r="G95" s="95" t="str">
        <x:v>40–60 word direct answer; definitions; conditions/exceptions; practical table; next-step recommendation; concise FAQs.</x:v>
      </x:c>
      <x:c r="H95" s="95" t="str">
        <x:v>Answer/condition table or troubleshooting table where useful</x:v>
      </x:c>
      <x:c r="I95" s="95" t="str">
        <x:v>Only contextual affiliate links when genuinely helpful</x:v>
      </x:c>
      <x:c r="J95" s="101" t="str">
        <x:v>Use 4–8 visible, non-repetitive questions. Answer each in 40–80 words. Add schema only when valid and useful.</x:v>
      </x:c>
    </x:row>
    <x:row r="96">
      <x:c r="A96" s="100" t="str">
        <x:v>BL-G08</x:v>
      </x:c>
      <x:c r="B96" s="95" t="str">
        <x:v>P2</x:v>
      </x:c>
      <x:c r="C96" s="95" t="str">
        <x:v>Informational</x:v>
      </x:c>
      <x:c r="D96" s="95" t="str">
        <x:v>can you put hot liquid in a blender</x:v>
      </x:c>
      <x:c r="E96" s="95" t="str">
        <x:v>Can You Put Hot Liquid in a Blender?</x:v>
      </x:c>
      <x:c r="F96" s="95" t="str">
        <x:v>Direct answer | Why this happens or why it matters | Key factors that change the answer | Practical examples | What to do next | Important limitations and safety notes | Related product recommendations | Frequently asked questions</x:v>
      </x:c>
      <x:c r="G96" s="95" t="str">
        <x:v>40–60 word direct answer; definitions; conditions/exceptions; practical table; next-step recommendation; concise FAQs.</x:v>
      </x:c>
      <x:c r="H96" s="95" t="str">
        <x:v>Answer/condition table or troubleshooting table where useful</x:v>
      </x:c>
      <x:c r="I96" s="95" t="str">
        <x:v>Only contextual affiliate links when genuinely helpful</x:v>
      </x:c>
      <x:c r="J96" s="101" t="str">
        <x:v>Use 4–8 visible, non-repetitive questions. Answer each in 40–80 words. Add schema only when valid and useful.</x:v>
      </x:c>
    </x:row>
    <x:row r="97">
      <x:c r="A97" s="100" t="str">
        <x:v>CC-G03</x:v>
      </x:c>
      <x:c r="B97" s="95" t="str">
        <x:v>P2</x:v>
      </x:c>
      <x:c r="C97" s="95" t="str">
        <x:v>Informational</x:v>
      </x:c>
      <x:c r="D97" s="95" t="str">
        <x:v>kitchen appliance wattage guide</x:v>
      </x:c>
      <x:c r="E97" s="95" t="str">
        <x:v>Kitchen Appliance Wattage and Circuit Guide</x:v>
      </x:c>
      <x:c r="F97" s="95" t="str">
        <x:v>Direct answer | Why this happens or why it matters | Key factors that change the answer | Practical examples | What to do next | Important limitations and safety notes | Related product recommendations | Frequently asked questions</x:v>
      </x:c>
      <x:c r="G97" s="95" t="str">
        <x:v>40–60 word direct answer; definitions; conditions/exceptions; practical table; next-step recommendation; concise FAQs.</x:v>
      </x:c>
      <x:c r="H97" s="95" t="str">
        <x:v>Answer/condition table or troubleshooting table where useful</x:v>
      </x:c>
      <x:c r="I97" s="95" t="str">
        <x:v>Only contextual affiliate links when genuinely helpful</x:v>
      </x:c>
      <x:c r="J97" s="101" t="str">
        <x:v>Use 4–8 visible, non-repetitive questions. Answer each in 40–80 words. Add schema only when valid and useful.</x:v>
      </x:c>
    </x:row>
    <x:row r="98">
      <x:c r="A98" s="100" t="str">
        <x:v>CC-G05</x:v>
      </x:c>
      <x:c r="B98" s="95" t="str">
        <x:v>P2</x:v>
      </x:c>
      <x:c r="C98" s="95" t="str">
        <x:v>Informational</x:v>
      </x:c>
      <x:c r="D98" s="95" t="str">
        <x:v>counter space for small appliances</x:v>
      </x:c>
      <x:c r="E98" s="95" t="str">
        <x:v>How Much Counter Space Do Small Appliances Need?</x:v>
      </x:c>
      <x:c r="F98" s="95" t="str">
        <x:v>Direct answer | Why this happens or why it matters | Key factors that change the answer | Practical examples | What to do next | Important limitations and safety notes | Related product recommendations | Frequently asked questions</x:v>
      </x:c>
      <x:c r="G98" s="95" t="str">
        <x:v>40–60 word direct answer; definitions; conditions/exceptions; practical table; next-step recommendation; concise FAQs.</x:v>
      </x:c>
      <x:c r="H98" s="95" t="str">
        <x:v>Answer/condition table or troubleshooting table where useful</x:v>
      </x:c>
      <x:c r="I98" s="95" t="str">
        <x:v>Only contextual affiliate links when genuinely helpful</x:v>
      </x:c>
      <x:c r="J98" s="101" t="str">
        <x:v>Use 4–8 visible, non-repetitive questions. Answer each in 40–80 words. Add schema only when valid and useful.</x:v>
      </x:c>
    </x:row>
    <x:row r="99">
      <x:c r="A99" s="100" t="str">
        <x:v>AF-G07</x:v>
      </x:c>
      <x:c r="B99" s="95" t="str">
        <x:v>P2</x:v>
      </x:c>
      <x:c r="C99" s="95" t="str">
        <x:v>How-To</x:v>
      </x:c>
      <x:c r="D99" s="95" t="str">
        <x:v>how to clean an air fryer</x:v>
      </x:c>
      <x:c r="E99" s="95" t="str">
        <x:v>How to Clean an Air Fryer</x:v>
      </x:c>
      <x:c r="F99" s="95" t="str">
        <x:v>Quick answer | What you need | Step-by-step instructions | What to avoid | Troubleshooting common problems | Safety and manufacturer guidance | When replacement or service is better | Frequently asked questions</x:v>
      </x:c>
      <x:c r="G99" s="95" t="str">
        <x:v>Numbered steps; short answer at top; safety caveats; troubleshooting table; outcome checks; concise FAQs.</x:v>
      </x:c>
      <x:c r="H99" s="95" t="str">
        <x:v>Answer/condition table or troubleshooting table where useful</x:v>
      </x:c>
      <x:c r="I99" s="95" t="str">
        <x:v>Only contextual affiliate links when genuinely helpful</x:v>
      </x:c>
      <x:c r="J99" s="101" t="str">
        <x:v>Use 4–8 visible, non-repetitive questions. Answer each in 40–80 words. Add schema only when valid and useful.</x:v>
      </x:c>
    </x:row>
    <x:row r="100">
      <x:c r="A100" s="100" t="str">
        <x:v>BL-G04</x:v>
      </x:c>
      <x:c r="B100" s="95" t="str">
        <x:v>P2</x:v>
      </x:c>
      <x:c r="C100" s="95" t="str">
        <x:v>How-To</x:v>
      </x:c>
      <x:c r="D100" s="95" t="str">
        <x:v>how to clean a blender</x:v>
      </x:c>
      <x:c r="E100" s="95" t="str">
        <x:v>How to Clean a Blender Safely</x:v>
      </x:c>
      <x:c r="F100" s="95" t="str">
        <x:v>Quick answer | What you need | Step-by-step instructions | What to avoid | Troubleshooting common problems | Safety and manufacturer guidance | When replacement or service is better | Frequently asked questions</x:v>
      </x:c>
      <x:c r="G100" s="95" t="str">
        <x:v>Numbered steps; short answer at top; safety caveats; troubleshooting table; outcome checks; concise FAQs.</x:v>
      </x:c>
      <x:c r="H100" s="95" t="str">
        <x:v>Answer/condition table or troubleshooting table where useful</x:v>
      </x:c>
      <x:c r="I100" s="95" t="str">
        <x:v>Only contextual affiliate links when genuinely helpful</x:v>
      </x:c>
      <x:c r="J100" s="101" t="str">
        <x:v>Use 4–8 visible, non-repetitive questions. Answer each in 40–80 words. Add schema only when valid and useful.</x:v>
      </x:c>
    </x:row>
    <x:row r="101">
      <x:c r="A101" s="100" t="str">
        <x:v>EK-G03</x:v>
      </x:c>
      <x:c r="B101" s="95" t="str">
        <x:v>P2</x:v>
      </x:c>
      <x:c r="C101" s="95" t="str">
        <x:v>How-To</x:v>
      </x:c>
      <x:c r="D101" s="95" t="str">
        <x:v>how to descale electric kettle</x:v>
      </x:c>
      <x:c r="E101" s="95" t="str">
        <x:v>How to Descale an Electric Kettle</x:v>
      </x:c>
      <x:c r="F101" s="95" t="str">
        <x:v>Quick answer | What you need | Step-by-step instructions | What to avoid | Troubleshooting common problems | Safety and manufacturer guidance | When replacement or service is better | Frequently asked questions</x:v>
      </x:c>
      <x:c r="G101" s="95" t="str">
        <x:v>Numbered steps; short answer at top; safety caveats; troubleshooting table; outcome checks; concise FAQs.</x:v>
      </x:c>
      <x:c r="H101" s="95" t="str">
        <x:v>Answer/condition table or troubleshooting table where useful</x:v>
      </x:c>
      <x:c r="I101" s="95" t="str">
        <x:v>Only contextual affiliate links when genuinely helpful</x:v>
      </x:c>
      <x:c r="J101" s="101" t="str">
        <x:v>Use 4–8 visible, non-repetitive questions. Answer each in 40–80 words. Add schema only when valid and useful.</x:v>
      </x:c>
    </x:row>
    <x:row r="102">
      <x:c r="A102" s="100" t="str">
        <x:v>CG-HUB</x:v>
      </x:c>
      <x:c r="B102" s="95" t="str">
        <x:v>P3</x:v>
      </x:c>
      <x:c r="C102" s="95" t="str">
        <x:v>Category Hub</x:v>
      </x:c>
      <x:c r="D102" s="95" t="str">
        <x:v>coffee grinder reviews and buying guides</x:v>
      </x:c>
      <x:c r="E102" s="95" t="str">
        <x:v>Coffee Grinder Reviews, Comparisons and Buying Guides</x:v>
      </x:c>
      <x:c r="F102" s="95" t="str">
        <x:v>Quick answer: how to choose the right coffee grinders | Best picks by budget and use case | Browse all best-of roundups | Latest individual reviews | Head-to-head comparisons | Buying guides and troubleshooting | How CounterCrave evaluates products | Frequently asked questions</x:v>
      </x:c>
      <x:c r="G102" s="95" t="str">
        <x:v>40–60 word category summary; decision table; category taxonomy; links to best answers; methodology statement; concise FAQ answers.</x:v>
      </x:c>
      <x:c r="H102" s="95" t="str">
        <x:v>Best-by-use-case navigation table; latest content list</x:v>
      </x:c>
      <x:c r="I102" s="95" t="str">
        <x:v>Internal links first; minimal direct Amazon CTAs</x:v>
      </x:c>
      <x:c r="J102" s="101" t="str">
        <x:v>Use 4–8 visible, non-repetitive questions. Answer each in 40–80 words. Add schema only when valid and useful.</x:v>
      </x:c>
    </x:row>
    <x:row r="103">
      <x:c r="A103" s="100" t="str">
        <x:v>FP-HUB</x:v>
      </x:c>
      <x:c r="B103" s="95" t="str">
        <x:v>P3</x:v>
      </x:c>
      <x:c r="C103" s="95" t="str">
        <x:v>Category Hub</x:v>
      </x:c>
      <x:c r="D103" s="95" t="str">
        <x:v>food processor reviews and buying guides</x:v>
      </x:c>
      <x:c r="E103" s="95" t="str">
        <x:v>Food Processor Reviews, Comparisons and Buying Guides</x:v>
      </x:c>
      <x:c r="F103" s="95" t="str">
        <x:v>Quick answer: how to choose the right food processors | Best picks by budget and use case | Browse all best-of roundups | Latest individual reviews | Head-to-head comparisons | Buying guides and troubleshooting | How CounterCrave evaluates products | Frequently asked questions</x:v>
      </x:c>
      <x:c r="G103" s="95" t="str">
        <x:v>40–60 word category summary; decision table; category taxonomy; links to best answers; methodology statement; concise FAQ answers.</x:v>
      </x:c>
      <x:c r="H103" s="95" t="str">
        <x:v>Best-by-use-case navigation table; latest content list</x:v>
      </x:c>
      <x:c r="I103" s="95" t="str">
        <x:v>Internal links first; minimal direct Amazon CTAs</x:v>
      </x:c>
      <x:c r="J103" s="101" t="str">
        <x:v>Use 4–8 visible, non-repetitive questions. Answer each in 40–80 words. Add schema only when valid and useful.</x:v>
      </x:c>
    </x:row>
    <x:row r="104">
      <x:c r="A104" s="100" t="str">
        <x:v>MC-HUB</x:v>
      </x:c>
      <x:c r="B104" s="95" t="str">
        <x:v>P3</x:v>
      </x:c>
      <x:c r="C104" s="95" t="str">
        <x:v>Category Hub</x:v>
      </x:c>
      <x:c r="D104" s="95" t="str">
        <x:v>mini chopper reviews and buying guides</x:v>
      </x:c>
      <x:c r="E104" s="95" t="str">
        <x:v>Mini Chopper Reviews, Comparisons and Buying Guides</x:v>
      </x:c>
      <x:c r="F104" s="95" t="str">
        <x:v>Quick answer: how to choose the right mini choppers | Best picks by budget and use case | Browse all best-of roundups | Latest individual reviews | Head-to-head comparisons | Buying guides and troubleshooting | How CounterCrave evaluates products | Frequently asked questions</x:v>
      </x:c>
      <x:c r="G104" s="95" t="str">
        <x:v>40–60 word category summary; decision table; category taxonomy; links to best answers; methodology statement; concise FAQ answers.</x:v>
      </x:c>
      <x:c r="H104" s="95" t="str">
        <x:v>Best-by-use-case navigation table; latest content list</x:v>
      </x:c>
      <x:c r="I104" s="95" t="str">
        <x:v>Internal links first; minimal direct Amazon CTAs</x:v>
      </x:c>
      <x:c r="J104" s="101" t="str">
        <x:v>Use 4–8 visible, non-repetitive questions. Answer each in 40–80 words. Add schema only when valid and useful.</x:v>
      </x:c>
    </x:row>
    <x:row r="105">
      <x:c r="A105" s="100" t="str">
        <x:v>RC-HUB</x:v>
      </x:c>
      <x:c r="B105" s="95" t="str">
        <x:v>P3</x:v>
      </x:c>
      <x:c r="C105" s="95" t="str">
        <x:v>Category Hub</x:v>
      </x:c>
      <x:c r="D105" s="95" t="str">
        <x:v>rice cooker reviews and buying guides</x:v>
      </x:c>
      <x:c r="E105" s="95" t="str">
        <x:v>Rice Cooker Reviews, Comparisons and Buying Guides</x:v>
      </x:c>
      <x:c r="F105" s="95" t="str">
        <x:v>Quick answer: how to choose the right rice cookers | Best picks by budget and use case | Browse all best-of roundups | Latest individual reviews | Head-to-head comparisons | Buying guides and troubleshooting | How CounterCrave evaluates products | Frequently asked questions</x:v>
      </x:c>
      <x:c r="G105" s="95" t="str">
        <x:v>40–60 word category summary; decision table; category taxonomy; links to best answers; methodology statement; concise FAQ answers.</x:v>
      </x:c>
      <x:c r="H105" s="95" t="str">
        <x:v>Best-by-use-case navigation table; latest content list</x:v>
      </x:c>
      <x:c r="I105" s="95" t="str">
        <x:v>Internal links first; minimal direct Amazon CTAs</x:v>
      </x:c>
      <x:c r="J105" s="101" t="str">
        <x:v>Use 4–8 visible, non-repetitive questions. Answer each in 40–80 words. Add schema only when valid and useful.</x:v>
      </x:c>
    </x:row>
    <x:row r="106">
      <x:c r="A106" s="100" t="str">
        <x:v>CG-PIL</x:v>
      </x:c>
      <x:c r="B106" s="95" t="str">
        <x:v>P3</x:v>
      </x:c>
      <x:c r="C106" s="95" t="str">
        <x:v>Commercial Pillar</x:v>
      </x:c>
      <x:c r="D106" s="95" t="str">
        <x:v>best coffee grinders</x:v>
      </x:c>
      <x:c r="E106" s="95" t="str">
        <x:v>Best Coffee Grinders for Drip, Espresso and Pour-Over</x:v>
      </x:c>
      <x:c r="F106"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106" s="95" t="str">
        <x:v>Answer-first verdict; top-three table; measurable selection criteria; each pick has buy-if/skip-if; clear alternatives; short fact-based FAQs.</x:v>
      </x:c>
      <x:c r="H106" s="95" t="str">
        <x:v>Top picks table; full comparison table; selection criteria table; optional size/value decision table</x:v>
      </x:c>
      <x:c r="I106" s="95" t="str">
        <x:v>Disclosure → Check price on Amazon; contextual CTA after verdict; alternatives link</x:v>
      </x:c>
      <x:c r="J106" s="101" t="str">
        <x:v>Use 4–8 visible, non-repetitive questions. Answer each in 40–80 words. Add schema only when valid and useful.</x:v>
      </x:c>
    </x:row>
    <x:row r="107">
      <x:c r="A107" s="100" t="str">
        <x:v>FP-PIL</x:v>
      </x:c>
      <x:c r="B107" s="95" t="str">
        <x:v>P3</x:v>
      </x:c>
      <x:c r="C107" s="95" t="str">
        <x:v>Commercial Pillar</x:v>
      </x:c>
      <x:c r="D107" s="95" t="str">
        <x:v>best food processors</x:v>
      </x:c>
      <x:c r="E107" s="95" t="str">
        <x:v>Best Food Processors for Chopping, Slicing and Dough</x:v>
      </x:c>
      <x:c r="F107"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107" s="95" t="str">
        <x:v>Answer-first verdict; top-three table; measurable selection criteria; each pick has buy-if/skip-if; clear alternatives; short fact-based FAQs.</x:v>
      </x:c>
      <x:c r="H107" s="95" t="str">
        <x:v>Top picks table; full comparison table; selection criteria table; optional size/value decision table</x:v>
      </x:c>
      <x:c r="I107" s="95" t="str">
        <x:v>Disclosure → Check price on Amazon; contextual CTA after verdict; alternatives link</x:v>
      </x:c>
      <x:c r="J107" s="101" t="str">
        <x:v>Use 4–8 visible, non-repetitive questions. Answer each in 40–80 words. Add schema only when valid and useful.</x:v>
      </x:c>
    </x:row>
    <x:row r="108">
      <x:c r="A108" s="100" t="str">
        <x:v>MC-PIL</x:v>
      </x:c>
      <x:c r="B108" s="95" t="str">
        <x:v>P3</x:v>
      </x:c>
      <x:c r="C108" s="95" t="str">
        <x:v>Commercial Pillar</x:v>
      </x:c>
      <x:c r="D108" s="95" t="str">
        <x:v>best mini food choppers</x:v>
      </x:c>
      <x:c r="E108" s="95" t="str">
        <x:v>Best Mini Food Choppers for Quick Prep</x:v>
      </x:c>
      <x:c r="F108"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108" s="95" t="str">
        <x:v>Answer-first verdict; top-three table; measurable selection criteria; each pick has buy-if/skip-if; clear alternatives; short fact-based FAQs.</x:v>
      </x:c>
      <x:c r="H108" s="95" t="str">
        <x:v>Top picks table; full comparison table; selection criteria table; optional size/value decision table</x:v>
      </x:c>
      <x:c r="I108" s="95" t="str">
        <x:v>Disclosure → Check price on Amazon; contextual CTA after verdict; alternatives link</x:v>
      </x:c>
      <x:c r="J108" s="101" t="str">
        <x:v>Use 4–8 visible, non-repetitive questions. Answer each in 40–80 words. Add schema only when valid and useful.</x:v>
      </x:c>
    </x:row>
    <x:row r="109">
      <x:c r="A109" s="100" t="str">
        <x:v>RC-PIL</x:v>
      </x:c>
      <x:c r="B109" s="95" t="str">
        <x:v>P3</x:v>
      </x:c>
      <x:c r="C109" s="95" t="str">
        <x:v>Commercial Pillar</x:v>
      </x:c>
      <x:c r="D109" s="95" t="str">
        <x:v>best rice cookers</x:v>
      </x:c>
      <x:c r="E109" s="95" t="str">
        <x:v>Best Rice Cookers for Small and Large Households</x:v>
      </x:c>
      <x:c r="F109"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109" s="95" t="str">
        <x:v>Answer-first verdict; top-three table; measurable selection criteria; each pick has buy-if/skip-if; clear alternatives; short fact-based FAQs.</x:v>
      </x:c>
      <x:c r="H109" s="95" t="str">
        <x:v>Top picks table; full comparison table; selection criteria table; optional size/value decision table</x:v>
      </x:c>
      <x:c r="I109" s="95" t="str">
        <x:v>Disclosure → Check price on Amazon; contextual CTA after verdict; alternatives link</x:v>
      </x:c>
      <x:c r="J109" s="101" t="str">
        <x:v>Use 4–8 visible, non-repetitive questions. Answer each in 40–80 words. Add schema only when valid and useful.</x:v>
      </x:c>
    </x:row>
    <x:row r="110">
      <x:c r="A110" s="100" t="str">
        <x:v>AF-R18</x:v>
      </x:c>
      <x:c r="B110" s="95" t="str">
        <x:v>P3</x:v>
      </x:c>
      <x:c r="C110" s="95" t="str">
        <x:v>Roundup</x:v>
      </x:c>
      <x:c r="D110" s="95" t="str">
        <x:v>best air fryer for baking</x:v>
      </x:c>
      <x:c r="E110" s="95" t="str">
        <x:v>Best Air Fryers for Baking</x:v>
      </x:c>
      <x:c r="F110" s="95" t="str">
        <x:v>Quick picks | Comparison table | How we chose these products | Best overall option for best air fryer for baking | Best budget option | Best premium option | Other strong options by use case | Detailed product evaluations | How to choose | Common buying mistakes | Frequently asked questions</x:v>
      </x:c>
      <x:c r="G110" s="95" t="str">
        <x:v>50-word direct answer; ranked list; decision matrix; explicit selection logic; pros/cons; audience fit; concise FAQ answers.</x:v>
      </x:c>
      <x:c r="H110" s="95" t="str">
        <x:v>Top picks table; full comparison table; selection criteria table; optional size/value decision table</x:v>
      </x:c>
      <x:c r="I110" s="95" t="str">
        <x:v>Disclosure → Check price on Amazon; contextual CTA after verdict; alternatives link</x:v>
      </x:c>
      <x:c r="J110" s="101" t="str">
        <x:v>Use 4–8 visible, non-repetitive questions. Answer each in 40–80 words. Add schema only when valid and useful.</x:v>
      </x:c>
    </x:row>
    <x:row r="111">
      <x:c r="A111" s="100" t="str">
        <x:v>AF-R19</x:v>
      </x:c>
      <x:c r="B111" s="95" t="str">
        <x:v>P3</x:v>
      </x:c>
      <x:c r="C111" s="95" t="str">
        <x:v>Roundup</x:v>
      </x:c>
      <x:c r="D111" s="95" t="str">
        <x:v>best air fryer with rotisserie</x:v>
      </x:c>
      <x:c r="E111" s="95" t="str">
        <x:v>Best Air Fryers with Rotisserie</x:v>
      </x:c>
      <x:c r="F111" s="95" t="str">
        <x:v>Quick picks | Comparison table | How we chose these products | Best overall option for best air fryer with rotisserie | Best budget option | Best premium option | Other strong options by use case | Detailed product evaluations | How to choose | Common buying mistakes | Frequently asked questions</x:v>
      </x:c>
      <x:c r="G111" s="95" t="str">
        <x:v>50-word direct answer; ranked list; decision matrix; explicit selection logic; pros/cons; audience fit; concise FAQ answers.</x:v>
      </x:c>
      <x:c r="H111" s="95" t="str">
        <x:v>Top picks table; full comparison table; selection criteria table; optional size/value decision table</x:v>
      </x:c>
      <x:c r="I111" s="95" t="str">
        <x:v>Disclosure → Check price on Amazon; contextual CTA after verdict; alternatives link</x:v>
      </x:c>
      <x:c r="J111" s="101" t="str">
        <x:v>Use 4–8 visible, non-repetitive questions. Answer each in 40–80 words. Add schema only when valid and useful.</x:v>
      </x:c>
    </x:row>
    <x:row r="112">
      <x:c r="A112" s="100" t="str">
        <x:v>BL-R13</x:v>
      </x:c>
      <x:c r="B112" s="95" t="str">
        <x:v>P3</x:v>
      </x:c>
      <x:c r="C112" s="95" t="str">
        <x:v>Roundup</x:v>
      </x:c>
      <x:c r="D112" s="95" t="str">
        <x:v>best easy to clean blender</x:v>
      </x:c>
      <x:c r="E112" s="95" t="str">
        <x:v>Best Easy-to-Clean Blenders</x:v>
      </x:c>
      <x:c r="F112" s="95" t="str">
        <x:v>Quick picks | Comparison table | How we chose these products | Best overall option for best easy to clean blender | Best budget option | Best premium option | Other strong options by use case | Detailed product evaluations | How to choose | Common buying mistakes | Frequently asked questions</x:v>
      </x:c>
      <x:c r="G112" s="95" t="str">
        <x:v>50-word direct answer; ranked list; decision matrix; explicit selection logic; pros/cons; audience fit; concise FAQ answers.</x:v>
      </x:c>
      <x:c r="H112" s="95" t="str">
        <x:v>Top picks table; full comparison table; selection criteria table; optional size/value decision table</x:v>
      </x:c>
      <x:c r="I112" s="95" t="str">
        <x:v>Disclosure → Check price on Amazon; contextual CTA after verdict; alternatives link</x:v>
      </x:c>
      <x:c r="J112" s="101" t="str">
        <x:v>Use 4–8 visible, non-repetitive questions. Answer each in 40–80 words. Add schema only when valid and useful.</x:v>
      </x:c>
    </x:row>
    <x:row r="113">
      <x:c r="A113" s="100" t="str">
        <x:v>BL-R14</x:v>
      </x:c>
      <x:c r="B113" s="95" t="str">
        <x:v>P3</x:v>
      </x:c>
      <x:c r="C113" s="95" t="str">
        <x:v>Roundup</x:v>
      </x:c>
      <x:c r="D113" s="95" t="str">
        <x:v>best blender for large family</x:v>
      </x:c>
      <x:c r="E113" s="95" t="str">
        <x:v>Best Blenders for Large Families</x:v>
      </x:c>
      <x:c r="F113" s="95" t="str">
        <x:v>Quick picks | Comparison table | How we chose these products | Best overall option for best blender for large family | Best budget option | Best premium option | Other strong options by use case | Detailed product evaluations | How to choose | Common buying mistakes | Frequently asked questions</x:v>
      </x:c>
      <x:c r="G113" s="95" t="str">
        <x:v>50-word direct answer; ranked list; decision matrix; explicit selection logic; pros/cons; audience fit; concise FAQ answers.</x:v>
      </x:c>
      <x:c r="H113" s="95" t="str">
        <x:v>Top picks table; full comparison table; selection criteria table; optional size/value decision table</x:v>
      </x:c>
      <x:c r="I113" s="95" t="str">
        <x:v>Disclosure → Check price on Amazon; contextual CTA after verdict; alternatives link</x:v>
      </x:c>
      <x:c r="J113" s="101" t="str">
        <x:v>Use 4–8 visible, non-repetitive questions. Answer each in 40–80 words. Add schema only when valid and useful.</x:v>
      </x:c>
    </x:row>
    <x:row r="114">
      <x:c r="A114" s="100" t="str">
        <x:v>BL-R15</x:v>
      </x:c>
      <x:c r="B114" s="95" t="str">
        <x:v>P3</x:v>
      </x:c>
      <x:c r="C114" s="95" t="str">
        <x:v>Roundup</x:v>
      </x:c>
      <x:c r="D114" s="95" t="str">
        <x:v>best portable blender</x:v>
      </x:c>
      <x:c r="E114" s="95" t="str">
        <x:v>Best Portable Blenders</x:v>
      </x:c>
      <x:c r="F114" s="95" t="str">
        <x:v>Quick picks | Comparison table | How we chose these products | Best overall option for best portable blender | Best budget option | Best premium option | Other strong options by use case | Detailed product evaluations | How to choose | Common buying mistakes | Frequently asked questions</x:v>
      </x:c>
      <x:c r="G114" s="95" t="str">
        <x:v>50-word direct answer; ranked list; decision matrix; explicit selection logic; pros/cons; audience fit; concise FAQ answers.</x:v>
      </x:c>
      <x:c r="H114" s="95" t="str">
        <x:v>Top picks table; full comparison table; selection criteria table; optional size/value decision table</x:v>
      </x:c>
      <x:c r="I114" s="95" t="str">
        <x:v>Disclosure → Check price on Amazon; contextual CTA after verdict; alternatives link</x:v>
      </x:c>
      <x:c r="J114" s="101" t="str">
        <x:v>Use 4–8 visible, non-repetitive questions. Answer each in 40–80 words. Add schema only when valid and useful.</x:v>
      </x:c>
    </x:row>
    <x:row r="115">
      <x:c r="A115" s="100" t="str">
        <x:v>CG-R01</x:v>
      </x:c>
      <x:c r="B115" s="95" t="str">
        <x:v>P3</x:v>
      </x:c>
      <x:c r="C115" s="95" t="str">
        <x:v>Roundup</x:v>
      </x:c>
      <x:c r="D115" s="95" t="str">
        <x:v>best coffee grinder under $100</x:v>
      </x:c>
      <x:c r="E115" s="95" t="str">
        <x:v>Best Coffee Grinders Under $100</x:v>
      </x:c>
      <x:c r="F115" s="95" t="str">
        <x:v>Quick picks | Comparison table | How we chose these products | Best overall option for best coffee grinder under $100 | Best budget option | Best premium option | Other strong options by use case | Detailed product evaluations | How to choose | Common buying mistakes | Frequently asked questions</x:v>
      </x:c>
      <x:c r="G115" s="95" t="str">
        <x:v>50-word direct answer; ranked list; decision matrix; explicit selection logic; pros/cons; audience fit; concise FAQ answers.</x:v>
      </x:c>
      <x:c r="H115" s="95" t="str">
        <x:v>Top picks table; full comparison table; selection criteria table; optional size/value decision table</x:v>
      </x:c>
      <x:c r="I115" s="95" t="str">
        <x:v>Disclosure → Check price on Amazon; contextual CTA after verdict; alternatives link</x:v>
      </x:c>
      <x:c r="J115" s="101" t="str">
        <x:v>Use 4–8 visible, non-repetitive questions. Answer each in 40–80 words. Add schema only when valid and useful.</x:v>
      </x:c>
    </x:row>
    <x:row r="116">
      <x:c r="A116" s="100" t="str">
        <x:v>CG-R02</x:v>
      </x:c>
      <x:c r="B116" s="95" t="str">
        <x:v>P3</x:v>
      </x:c>
      <x:c r="C116" s="95" t="str">
        <x:v>Roundup</x:v>
      </x:c>
      <x:c r="D116" s="95" t="str">
        <x:v>best burr coffee grinder</x:v>
      </x:c>
      <x:c r="E116" s="95" t="str">
        <x:v>Best Burr Coffee Grinders</x:v>
      </x:c>
      <x:c r="F116" s="95" t="str">
        <x:v>Quick picks | Comparison table | How we chose these products | Best overall option for best burr coffee grinder | Best budget option | Best premium option | Other strong options by use case | Detailed product evaluations | How to choose | Common buying mistakes | Frequently asked questions</x:v>
      </x:c>
      <x:c r="G116" s="95" t="str">
        <x:v>50-word direct answer; ranked list; decision matrix; explicit selection logic; pros/cons; audience fit; concise FAQ answers.</x:v>
      </x:c>
      <x:c r="H116" s="95" t="str">
        <x:v>Top picks table; full comparison table; selection criteria table; optional size/value decision table</x:v>
      </x:c>
      <x:c r="I116" s="95" t="str">
        <x:v>Disclosure → Check price on Amazon; contextual CTA after verdict; alternatives link</x:v>
      </x:c>
      <x:c r="J116" s="101" t="str">
        <x:v>Use 4–8 visible, non-repetitive questions. Answer each in 40–80 words. Add schema only when valid and useful.</x:v>
      </x:c>
    </x:row>
    <x:row r="117">
      <x:c r="A117" s="100" t="str">
        <x:v>CG-R03</x:v>
      </x:c>
      <x:c r="B117" s="95" t="str">
        <x:v>P3</x:v>
      </x:c>
      <x:c r="C117" s="95" t="str">
        <x:v>Roundup</x:v>
      </x:c>
      <x:c r="D117" s="95" t="str">
        <x:v>best coffee grinder for espresso</x:v>
      </x:c>
      <x:c r="E117" s="95" t="str">
        <x:v>Best Coffee Grinders for Espresso</x:v>
      </x:c>
      <x:c r="F117" s="95" t="str">
        <x:v>Quick picks | Comparison table | How we chose these products | Best overall option for best coffee grinder for espresso | Best budget option | Best premium option | Other strong options by use case | Detailed product evaluations | How to choose | Common buying mistakes | Frequently asked questions</x:v>
      </x:c>
      <x:c r="G117" s="95" t="str">
        <x:v>50-word direct answer; ranked list; decision matrix; explicit selection logic; pros/cons; audience fit; concise FAQ answers.</x:v>
      </x:c>
      <x:c r="H117" s="95" t="str">
        <x:v>Top picks table; full comparison table; selection criteria table; optional size/value decision table</x:v>
      </x:c>
      <x:c r="I117" s="95" t="str">
        <x:v>Disclosure → Check price on Amazon; contextual CTA after verdict; alternatives link</x:v>
      </x:c>
      <x:c r="J117" s="101" t="str">
        <x:v>Use 4–8 visible, non-repetitive questions. Answer each in 40–80 words. Add schema only when valid and useful.</x:v>
      </x:c>
    </x:row>
    <x:row r="118">
      <x:c r="A118" s="100" t="str">
        <x:v>EK-R06</x:v>
      </x:c>
      <x:c r="B118" s="95" t="str">
        <x:v>P3</x:v>
      </x:c>
      <x:c r="C118" s="95" t="str">
        <x:v>Roundup</x:v>
      </x:c>
      <x:c r="D118" s="95" t="str">
        <x:v>best stainless steel electric kettle</x:v>
      </x:c>
      <x:c r="E118" s="95" t="str">
        <x:v>Best Stainless Steel Electric Kettles</x:v>
      </x:c>
      <x:c r="F118" s="95" t="str">
        <x:v>Quick picks | Comparison table | How we chose these products | Best overall option for best stainless steel electric kettle | Best budget option | Best premium option | Other strong options by use case | Detailed product evaluations | How to choose | Common buying mistakes | Frequently asked questions</x:v>
      </x:c>
      <x:c r="G118" s="95" t="str">
        <x:v>50-word direct answer; ranked list; decision matrix; explicit selection logic; pros/cons; audience fit; concise FAQ answers.</x:v>
      </x:c>
      <x:c r="H118" s="95" t="str">
        <x:v>Top picks table; full comparison table; selection criteria table; optional size/value decision table</x:v>
      </x:c>
      <x:c r="I118" s="95" t="str">
        <x:v>Disclosure → Check price on Amazon; contextual CTA after verdict; alternatives link</x:v>
      </x:c>
      <x:c r="J118" s="101" t="str">
        <x:v>Use 4–8 visible, non-repetitive questions. Answer each in 40–80 words. Add schema only when valid and useful.</x:v>
      </x:c>
    </x:row>
    <x:row r="119">
      <x:c r="A119" s="100" t="str">
        <x:v>EK-R07</x:v>
      </x:c>
      <x:c r="B119" s="95" t="str">
        <x:v>P3</x:v>
      </x:c>
      <x:c r="C119" s="95" t="str">
        <x:v>Roundup</x:v>
      </x:c>
      <x:c r="D119" s="95" t="str">
        <x:v>best glass electric kettle</x:v>
      </x:c>
      <x:c r="E119" s="95" t="str">
        <x:v>Best Glass Electric Kettles</x:v>
      </x:c>
      <x:c r="F119" s="95" t="str">
        <x:v>Quick picks | Comparison table | How we chose these products | Best overall option for best glass electric kettle | Best budget option | Best premium option | Other strong options by use case | Detailed product evaluations | How to choose | Common buying mistakes | Frequently asked questions</x:v>
      </x:c>
      <x:c r="G119" s="95" t="str">
        <x:v>50-word direct answer; ranked list; decision matrix; explicit selection logic; pros/cons; audience fit; concise FAQ answers.</x:v>
      </x:c>
      <x:c r="H119" s="95" t="str">
        <x:v>Top picks table; full comparison table; selection criteria table; optional size/value decision table</x:v>
      </x:c>
      <x:c r="I119" s="95" t="str">
        <x:v>Disclosure → Check price on Amazon; contextual CTA after verdict; alternatives link</x:v>
      </x:c>
      <x:c r="J119" s="101" t="str">
        <x:v>Use 4–8 visible, non-repetitive questions. Answer each in 40–80 words. Add schema only when valid and useful.</x:v>
      </x:c>
    </x:row>
    <x:row r="120">
      <x:c r="A120" s="100" t="str">
        <x:v>EK-R08</x:v>
      </x:c>
      <x:c r="B120" s="95" t="str">
        <x:v>P3</x:v>
      </x:c>
      <x:c r="C120" s="95" t="str">
        <x:v>Roundup</x:v>
      </x:c>
      <x:c r="D120" s="95" t="str">
        <x:v>best small electric kettle</x:v>
      </x:c>
      <x:c r="E120" s="95" t="str">
        <x:v>Best Small Electric Kettles</x:v>
      </x:c>
      <x:c r="F120" s="95" t="str">
        <x:v>Quick picks | Comparison table | How we chose these products | Best overall option for best small electric kettle | Best budget option | Best premium option | Other strong options by use case | Detailed product evaluations | How to choose | Common buying mistakes | Frequently asked questions</x:v>
      </x:c>
      <x:c r="G120" s="95" t="str">
        <x:v>50-word direct answer; ranked list; decision matrix; explicit selection logic; pros/cons; audience fit; concise FAQ answers.</x:v>
      </x:c>
      <x:c r="H120" s="95" t="str">
        <x:v>Top picks table; full comparison table; selection criteria table; optional size/value decision table</x:v>
      </x:c>
      <x:c r="I120" s="95" t="str">
        <x:v>Disclosure → Check price on Amazon; contextual CTA after verdict; alternatives link</x:v>
      </x:c>
      <x:c r="J120" s="101" t="str">
        <x:v>Use 4–8 visible, non-repetitive questions. Answer each in 40–80 words. Add schema only when valid and useful.</x:v>
      </x:c>
    </x:row>
    <x:row r="121">
      <x:c r="A121" s="100" t="str">
        <x:v>EK-R09</x:v>
      </x:c>
      <x:c r="B121" s="95" t="str">
        <x:v>P3</x:v>
      </x:c>
      <x:c r="C121" s="95" t="str">
        <x:v>Roundup</x:v>
      </x:c>
      <x:c r="D121" s="95" t="str">
        <x:v>best travel electric kettle</x:v>
      </x:c>
      <x:c r="E121" s="95" t="str">
        <x:v>Best Travel Electric Kettles</x:v>
      </x:c>
      <x:c r="F121" s="95" t="str">
        <x:v>Quick picks | Comparison table | How we chose these products | Best overall option for best travel electric kettle | Best budget option | Best premium option | Other strong options by use case | Detailed product evaluations | How to choose | Common buying mistakes | Frequently asked questions</x:v>
      </x:c>
      <x:c r="G121" s="95" t="str">
        <x:v>50-word direct answer; ranked list; decision matrix; explicit selection logic; pros/cons; audience fit; concise FAQ answers.</x:v>
      </x:c>
      <x:c r="H121" s="95" t="str">
        <x:v>Top picks table; full comparison table; selection criteria table; optional size/value decision table</x:v>
      </x:c>
      <x:c r="I121" s="95" t="str">
        <x:v>Disclosure → Check price on Amazon; contextual CTA after verdict; alternatives link</x:v>
      </x:c>
      <x:c r="J121" s="101" t="str">
        <x:v>Use 4–8 visible, non-repetitive questions. Answer each in 40–80 words. Add schema only when valid and useful.</x:v>
      </x:c>
    </x:row>
    <x:row r="122">
      <x:c r="A122" s="100" t="str">
        <x:v>EK-R10</x:v>
      </x:c>
      <x:c r="B122" s="95" t="str">
        <x:v>P3</x:v>
      </x:c>
      <x:c r="C122" s="95" t="str">
        <x:v>Roundup</x:v>
      </x:c>
      <x:c r="D122" s="95" t="str">
        <x:v>fastest electric kettle</x:v>
      </x:c>
      <x:c r="E122" s="95" t="str">
        <x:v>Fastest Boiling Electric Kettles</x:v>
      </x:c>
      <x:c r="F122" s="95" t="str">
        <x:v>Quick picks | Comparison table | How we chose these products | Best overall option for fastest electric kettle | Best budget option | Best premium option | Other strong options by use case | Detailed product evaluations | How to choose | Common buying mistakes | Frequently asked questions</x:v>
      </x:c>
      <x:c r="G122" s="95" t="str">
        <x:v>50-word direct answer; ranked list; decision matrix; explicit selection logic; pros/cons; audience fit; concise FAQ answers.</x:v>
      </x:c>
      <x:c r="H122" s="95" t="str">
        <x:v>Top picks table; full comparison table; selection criteria table; optional size/value decision table</x:v>
      </x:c>
      <x:c r="I122" s="95" t="str">
        <x:v>Disclosure → Check price on Amazon; contextual CTA after verdict; alternatives link</x:v>
      </x:c>
      <x:c r="J122" s="101" t="str">
        <x:v>Use 4–8 visible, non-repetitive questions. Answer each in 40–80 words. Add schema only when valid and useful.</x:v>
      </x:c>
    </x:row>
    <x:row r="123">
      <x:c r="A123" s="100" t="str">
        <x:v>FP-R01</x:v>
      </x:c>
      <x:c r="B123" s="95" t="str">
        <x:v>P3</x:v>
      </x:c>
      <x:c r="C123" s="95" t="str">
        <x:v>Roundup</x:v>
      </x:c>
      <x:c r="D123" s="95" t="str">
        <x:v>best food processor under $100</x:v>
      </x:c>
      <x:c r="E123" s="95" t="str">
        <x:v>Best Food Processors Under $100</x:v>
      </x:c>
      <x:c r="F123" s="95" t="str">
        <x:v>Quick picks | Comparison table | How we chose these products | Best overall option for best food processor under $100 | Best budget option | Best premium option | Other strong options by use case | Detailed product evaluations | How to choose | Common buying mistakes | Frequently asked questions</x:v>
      </x:c>
      <x:c r="G123" s="95" t="str">
        <x:v>50-word direct answer; ranked list; decision matrix; explicit selection logic; pros/cons; audience fit; concise FAQ answers.</x:v>
      </x:c>
      <x:c r="H123" s="95" t="str">
        <x:v>Top picks table; full comparison table; selection criteria table; optional size/value decision table</x:v>
      </x:c>
      <x:c r="I123" s="95" t="str">
        <x:v>Disclosure → Check price on Amazon; contextual CTA after verdict; alternatives link</x:v>
      </x:c>
      <x:c r="J123" s="101" t="str">
        <x:v>Use 4–8 visible, non-repetitive questions. Answer each in 40–80 words. Add schema only when valid and useful.</x:v>
      </x:c>
    </x:row>
    <x:row r="124">
      <x:c r="A124" s="100" t="str">
        <x:v>FP-R02</x:v>
      </x:c>
      <x:c r="B124" s="95" t="str">
        <x:v>P3</x:v>
      </x:c>
      <x:c r="C124" s="95" t="str">
        <x:v>Roundup</x:v>
      </x:c>
      <x:c r="D124" s="95" t="str">
        <x:v>best small food processor</x:v>
      </x:c>
      <x:c r="E124" s="95" t="str">
        <x:v>Best Small Food Processors</x:v>
      </x:c>
      <x:c r="F124" s="95" t="str">
        <x:v>Quick picks | Comparison table | How we chose these products | Best overall option for best small food processor | Best budget option | Best premium option | Other strong options by use case | Detailed product evaluations | How to choose | Common buying mistakes | Frequently asked questions</x:v>
      </x:c>
      <x:c r="G124" s="95" t="str">
        <x:v>50-word direct answer; ranked list; decision matrix; explicit selection logic; pros/cons; audience fit; concise FAQ answers.</x:v>
      </x:c>
      <x:c r="H124" s="95" t="str">
        <x:v>Top picks table; full comparison table; selection criteria table; optional size/value decision table</x:v>
      </x:c>
      <x:c r="I124" s="95" t="str">
        <x:v>Disclosure → Check price on Amazon; contextual CTA after verdict; alternatives link</x:v>
      </x:c>
      <x:c r="J124" s="101" t="str">
        <x:v>Use 4–8 visible, non-repetitive questions. Answer each in 40–80 words. Add schema only when valid and useful.</x:v>
      </x:c>
    </x:row>
    <x:row r="125">
      <x:c r="A125" s="100" t="str">
        <x:v>FP-R03</x:v>
      </x:c>
      <x:c r="B125" s="95" t="str">
        <x:v>P3</x:v>
      </x:c>
      <x:c r="C125" s="95" t="str">
        <x:v>Roundup</x:v>
      </x:c>
      <x:c r="D125" s="95" t="str">
        <x:v>best food processor for dough</x:v>
      </x:c>
      <x:c r="E125" s="95" t="str">
        <x:v>Best Food Processors for Dough</x:v>
      </x:c>
      <x:c r="F125" s="95" t="str">
        <x:v>Quick picks | Comparison table | How we chose these products | Best overall option for best food processor for dough | Best budget option | Best premium option | Other strong options by use case | Detailed product evaluations | How to choose | Common buying mistakes | Frequently asked questions</x:v>
      </x:c>
      <x:c r="G125" s="95" t="str">
        <x:v>50-word direct answer; ranked list; decision matrix; explicit selection logic; pros/cons; audience fit; concise FAQ answers.</x:v>
      </x:c>
      <x:c r="H125" s="95" t="str">
        <x:v>Top picks table; full comparison table; selection criteria table; optional size/value decision table</x:v>
      </x:c>
      <x:c r="I125" s="95" t="str">
        <x:v>Disclosure → Check price on Amazon; contextual CTA after verdict; alternatives link</x:v>
      </x:c>
      <x:c r="J125" s="101" t="str">
        <x:v>Use 4–8 visible, non-repetitive questions. Answer each in 40–80 words. Add schema only when valid and useful.</x:v>
      </x:c>
    </x:row>
    <x:row r="126">
      <x:c r="A126" s="100" t="str">
        <x:v>FP-R04</x:v>
      </x:c>
      <x:c r="B126" s="95" t="str">
        <x:v>P3</x:v>
      </x:c>
      <x:c r="C126" s="95" t="str">
        <x:v>Roundup</x:v>
      </x:c>
      <x:c r="D126" s="95" t="str">
        <x:v>best food processor for slicing vegetables</x:v>
      </x:c>
      <x:c r="E126" s="95" t="str">
        <x:v>Best Food Processors for Slicing Vegetables</x:v>
      </x:c>
      <x:c r="F126" s="95" t="str">
        <x:v>Quick picks | Comparison table | How we chose these products | Best overall option for best food processor for slicing vegetables | Best budget option | Best premium option | Other strong options by use case | Detailed product evaluations | How to choose | Common buying mistakes | Frequently asked questions</x:v>
      </x:c>
      <x:c r="G126" s="95" t="str">
        <x:v>50-word direct answer; ranked list; decision matrix; explicit selection logic; pros/cons; audience fit; concise FAQ answers.</x:v>
      </x:c>
      <x:c r="H126" s="95" t="str">
        <x:v>Top picks table; full comparison table; selection criteria table; optional size/value decision table</x:v>
      </x:c>
      <x:c r="I126" s="95" t="str">
        <x:v>Disclosure → Check price on Amazon; contextual CTA after verdict; alternatives link</x:v>
      </x:c>
      <x:c r="J126" s="101" t="str">
        <x:v>Use 4–8 visible, non-repetitive questions. Answer each in 40–80 words. Add schema only when valid and useful.</x:v>
      </x:c>
    </x:row>
    <x:row r="127">
      <x:c r="A127" s="100" t="str">
        <x:v>FP-R05</x:v>
      </x:c>
      <x:c r="B127" s="95" t="str">
        <x:v>P3</x:v>
      </x:c>
      <x:c r="C127" s="95" t="str">
        <x:v>Roundup</x:v>
      </x:c>
      <x:c r="D127" s="95" t="str">
        <x:v>best food processor for shredding cheese</x:v>
      </x:c>
      <x:c r="E127" s="95" t="str">
        <x:v>Best Food Processors for Shredding Cheese</x:v>
      </x:c>
      <x:c r="F127" s="95" t="str">
        <x:v>Quick picks | Comparison table | How we chose these products | Best overall option for best food processor for shredding cheese | Best budget option | Best premium option | Other strong options by use case | Detailed product evaluations | How to choose | Common buying mistakes | Frequently asked questions</x:v>
      </x:c>
      <x:c r="G127" s="95" t="str">
        <x:v>50-word direct answer; ranked list; decision matrix; explicit selection logic; pros/cons; audience fit; concise FAQ answers.</x:v>
      </x:c>
      <x:c r="H127" s="95" t="str">
        <x:v>Top picks table; full comparison table; selection criteria table; optional size/value decision table</x:v>
      </x:c>
      <x:c r="I127" s="95" t="str">
        <x:v>Disclosure → Check price on Amazon; contextual CTA after verdict; alternatives link</x:v>
      </x:c>
      <x:c r="J127" s="101" t="str">
        <x:v>Use 4–8 visible, non-repetitive questions. Answer each in 40–80 words. Add schema only when valid and useful.</x:v>
      </x:c>
    </x:row>
    <x:row r="128">
      <x:c r="A128" s="100" t="str">
        <x:v>FP-R06</x:v>
      </x:c>
      <x:c r="B128" s="95" t="str">
        <x:v>P3</x:v>
      </x:c>
      <x:c r="C128" s="95" t="str">
        <x:v>Roundup</x:v>
      </x:c>
      <x:c r="D128" s="95" t="str">
        <x:v>best food processor for nut butter</x:v>
      </x:c>
      <x:c r="E128" s="95" t="str">
        <x:v>Best Food Processors for Nut Butter</x:v>
      </x:c>
      <x:c r="F128" s="95" t="str">
        <x:v>Quick picks | Comparison table | How we chose these products | Best overall option for best food processor for nut butter | Best budget option | Best premium option | Other strong options by use case | Detailed product evaluations | How to choose | Common buying mistakes | Frequently asked questions</x:v>
      </x:c>
      <x:c r="G128" s="95" t="str">
        <x:v>50-word direct answer; ranked list; decision matrix; explicit selection logic; pros/cons; audience fit; concise FAQ answers.</x:v>
      </x:c>
      <x:c r="H128" s="95" t="str">
        <x:v>Top picks table; full comparison table; selection criteria table; optional size/value decision table</x:v>
      </x:c>
      <x:c r="I128" s="95" t="str">
        <x:v>Disclosure → Check price on Amazon; contextual CTA after verdict; alternatives link</x:v>
      </x:c>
      <x:c r="J128" s="101" t="str">
        <x:v>Use 4–8 visible, non-repetitive questions. Answer each in 40–80 words. Add schema only when valid and useful.</x:v>
      </x:c>
    </x:row>
    <x:row r="129">
      <x:c r="A129" s="100" t="str">
        <x:v>MC-R01</x:v>
      </x:c>
      <x:c r="B129" s="95" t="str">
        <x:v>P3</x:v>
      </x:c>
      <x:c r="C129" s="95" t="str">
        <x:v>Roundup</x:v>
      </x:c>
      <x:c r="D129" s="95" t="str">
        <x:v>best mini food chopper under $50</x:v>
      </x:c>
      <x:c r="E129" s="95" t="str">
        <x:v>Best Mini Food Choppers Under $50</x:v>
      </x:c>
      <x:c r="F129" s="95" t="str">
        <x:v>Quick picks | Comparison table | How we chose these products | Best overall option for best mini food chopper under $50 | Best budget option | Best premium option | Other strong options by use case | Detailed product evaluations | How to choose | Common buying mistakes | Frequently asked questions</x:v>
      </x:c>
      <x:c r="G129" s="95" t="str">
        <x:v>50-word direct answer; ranked list; decision matrix; explicit selection logic; pros/cons; audience fit; concise FAQ answers.</x:v>
      </x:c>
      <x:c r="H129" s="95" t="str">
        <x:v>Top picks table; full comparison table; selection criteria table; optional size/value decision table</x:v>
      </x:c>
      <x:c r="I129" s="95" t="str">
        <x:v>Disclosure → Check price on Amazon; contextual CTA after verdict; alternatives link</x:v>
      </x:c>
      <x:c r="J129" s="101" t="str">
        <x:v>Use 4–8 visible, non-repetitive questions. Answer each in 40–80 words. Add schema only when valid and useful.</x:v>
      </x:c>
    </x:row>
    <x:row r="130">
      <x:c r="A130" s="100" t="str">
        <x:v>MC-R02</x:v>
      </x:c>
      <x:c r="B130" s="95" t="str">
        <x:v>P3</x:v>
      </x:c>
      <x:c r="C130" s="95" t="str">
        <x:v>Roundup</x:v>
      </x:c>
      <x:c r="D130" s="95" t="str">
        <x:v>best electric mini chopper</x:v>
      </x:c>
      <x:c r="E130" s="95" t="str">
        <x:v>Best Electric Mini Choppers</x:v>
      </x:c>
      <x:c r="F130" s="95" t="str">
        <x:v>Quick picks | Comparison table | How we chose these products | Best overall option for best electric mini chopper | Best budget option | Best premium option | Other strong options by use case | Detailed product evaluations | How to choose | Common buying mistakes | Frequently asked questions</x:v>
      </x:c>
      <x:c r="G130" s="95" t="str">
        <x:v>50-word direct answer; ranked list; decision matrix; explicit selection logic; pros/cons; audience fit; concise FAQ answers.</x:v>
      </x:c>
      <x:c r="H130" s="95" t="str">
        <x:v>Top picks table; full comparison table; selection criteria table; optional size/value decision table</x:v>
      </x:c>
      <x:c r="I130" s="95" t="str">
        <x:v>Disclosure → Check price on Amazon; contextual CTA after verdict; alternatives link</x:v>
      </x:c>
      <x:c r="J130" s="101" t="str">
        <x:v>Use 4–8 visible, non-repetitive questions. Answer each in 40–80 words. Add schema only when valid and useful.</x:v>
      </x:c>
    </x:row>
    <x:row r="131">
      <x:c r="A131" s="100" t="str">
        <x:v>MC-R03</x:v>
      </x:c>
      <x:c r="B131" s="95" t="str">
        <x:v>P3</x:v>
      </x:c>
      <x:c r="C131" s="95" t="str">
        <x:v>Roundup</x:v>
      </x:c>
      <x:c r="D131" s="95" t="str">
        <x:v>best mini chopper for onions</x:v>
      </x:c>
      <x:c r="E131" s="95" t="str">
        <x:v>Best Mini Choppers for Onions</x:v>
      </x:c>
      <x:c r="F131" s="95" t="str">
        <x:v>Quick picks | Comparison table | How we chose these products | Best overall option for best mini chopper for onions | Best budget option | Best premium option | Other strong options by use case | Detailed product evaluations | How to choose | Common buying mistakes | Frequently asked questions</x:v>
      </x:c>
      <x:c r="G131" s="95" t="str">
        <x:v>50-word direct answer; ranked list; decision matrix; explicit selection logic; pros/cons; audience fit; concise FAQ answers.</x:v>
      </x:c>
      <x:c r="H131" s="95" t="str">
        <x:v>Top picks table; full comparison table; selection criteria table; optional size/value decision table</x:v>
      </x:c>
      <x:c r="I131" s="95" t="str">
        <x:v>Disclosure → Check price on Amazon; contextual CTA after verdict; alternatives link</x:v>
      </x:c>
      <x:c r="J131" s="101" t="str">
        <x:v>Use 4–8 visible, non-repetitive questions. Answer each in 40–80 words. Add schema only when valid and useful.</x:v>
      </x:c>
    </x:row>
    <x:row r="132">
      <x:c r="A132" s="100" t="str">
        <x:v>RC-R01</x:v>
      </x:c>
      <x:c r="B132" s="95" t="str">
        <x:v>P3</x:v>
      </x:c>
      <x:c r="C132" s="95" t="str">
        <x:v>Roundup</x:v>
      </x:c>
      <x:c r="D132" s="95" t="str">
        <x:v>best rice cooker under $50</x:v>
      </x:c>
      <x:c r="E132" s="95" t="str">
        <x:v>Best Rice Cookers Under $50</x:v>
      </x:c>
      <x:c r="F132" s="95" t="str">
        <x:v>Quick picks | Comparison table | How we chose these products | Best overall option for best rice cooker under $50 | Best budget option | Best premium option | Other strong options by use case | Detailed product evaluations | How to choose | Common buying mistakes | Frequently asked questions</x:v>
      </x:c>
      <x:c r="G132" s="95" t="str">
        <x:v>50-word direct answer; ranked list; decision matrix; explicit selection logic; pros/cons; audience fit; concise FAQ answers.</x:v>
      </x:c>
      <x:c r="H132" s="95" t="str">
        <x:v>Top picks table; full comparison table; selection criteria table; optional size/value decision table</x:v>
      </x:c>
      <x:c r="I132" s="95" t="str">
        <x:v>Disclosure → Check price on Amazon; contextual CTA after verdict; alternatives link</x:v>
      </x:c>
      <x:c r="J132" s="101" t="str">
        <x:v>Use 4–8 visible, non-repetitive questions. Answer each in 40–80 words. Add schema only when valid and useful.</x:v>
      </x:c>
    </x:row>
    <x:row r="133">
      <x:c r="A133" s="100" t="str">
        <x:v>RC-R02</x:v>
      </x:c>
      <x:c r="B133" s="95" t="str">
        <x:v>P3</x:v>
      </x:c>
      <x:c r="C133" s="95" t="str">
        <x:v>Roundup</x:v>
      </x:c>
      <x:c r="D133" s="95" t="str">
        <x:v>best small rice cooker</x:v>
      </x:c>
      <x:c r="E133" s="95" t="str">
        <x:v>Best Small Rice Cookers</x:v>
      </x:c>
      <x:c r="F133" s="95" t="str">
        <x:v>Quick picks | Comparison table | How we chose these products | Best overall option for best small rice cooker | Best budget option | Best premium option | Other strong options by use case | Detailed product evaluations | How to choose | Common buying mistakes | Frequently asked questions</x:v>
      </x:c>
      <x:c r="G133" s="95" t="str">
        <x:v>50-word direct answer; ranked list; decision matrix; explicit selection logic; pros/cons; audience fit; concise FAQ answers.</x:v>
      </x:c>
      <x:c r="H133" s="95" t="str">
        <x:v>Top picks table; full comparison table; selection criteria table; optional size/value decision table</x:v>
      </x:c>
      <x:c r="I133" s="95" t="str">
        <x:v>Disclosure → Check price on Amazon; contextual CTA after verdict; alternatives link</x:v>
      </x:c>
      <x:c r="J133" s="101" t="str">
        <x:v>Use 4–8 visible, non-repetitive questions. Answer each in 40–80 words. Add schema only when valid and useful.</x:v>
      </x:c>
    </x:row>
    <x:row r="134">
      <x:c r="A134" s="100" t="str">
        <x:v>RC-R03</x:v>
      </x:c>
      <x:c r="B134" s="95" t="str">
        <x:v>P3</x:v>
      </x:c>
      <x:c r="C134" s="95" t="str">
        <x:v>Roundup</x:v>
      </x:c>
      <x:c r="D134" s="95" t="str">
        <x:v>best rice cooker for brown rice</x:v>
      </x:c>
      <x:c r="E134" s="95" t="str">
        <x:v>Best Rice Cookers for Brown Rice</x:v>
      </x:c>
      <x:c r="F134" s="95" t="str">
        <x:v>Quick picks | Comparison table | How we chose these products | Best overall option for best rice cooker for brown rice | Best budget option | Best premium option | Other strong options by use case | Detailed product evaluations | How to choose | Common buying mistakes | Frequently asked questions</x:v>
      </x:c>
      <x:c r="G134" s="95" t="str">
        <x:v>50-word direct answer; ranked list; decision matrix; explicit selection logic; pros/cons; audience fit; concise FAQ answers.</x:v>
      </x:c>
      <x:c r="H134" s="95" t="str">
        <x:v>Top picks table; full comparison table; selection criteria table; optional size/value decision table</x:v>
      </x:c>
      <x:c r="I134" s="95" t="str">
        <x:v>Disclosure → Check price on Amazon; contextual CTA after verdict; alternatives link</x:v>
      </x:c>
      <x:c r="J134" s="101" t="str">
        <x:v>Use 4–8 visible, non-repetitive questions. Answer each in 40–80 words. Add schema only when valid and useful.</x:v>
      </x:c>
    </x:row>
    <x:row r="135">
      <x:c r="A135" s="100" t="str">
        <x:v>TO-R05</x:v>
      </x:c>
      <x:c r="B135" s="95" t="str">
        <x:v>P3</x:v>
      </x:c>
      <x:c r="C135" s="95" t="str">
        <x:v>Roundup</x:v>
      </x:c>
      <x:c r="D135" s="95" t="str">
        <x:v>best toaster oven for pizza</x:v>
      </x:c>
      <x:c r="E135" s="95" t="str">
        <x:v>Best Toaster Ovens for Pizza</x:v>
      </x:c>
      <x:c r="F135" s="95" t="str">
        <x:v>Quick picks | Comparison table | How we chose these products | Best overall option for best toaster oven for pizza | Best budget option | Best premium option | Other strong options by use case | Detailed product evaluations | How to choose | Common buying mistakes | Frequently asked questions</x:v>
      </x:c>
      <x:c r="G135" s="95" t="str">
        <x:v>50-word direct answer; ranked list; decision matrix; explicit selection logic; pros/cons; audience fit; concise FAQ answers.</x:v>
      </x:c>
      <x:c r="H135" s="95" t="str">
        <x:v>Top picks table; full comparison table; selection criteria table; optional size/value decision table</x:v>
      </x:c>
      <x:c r="I135" s="95" t="str">
        <x:v>Disclosure → Check price on Amazon; contextual CTA after verdict; alternatives link</x:v>
      </x:c>
      <x:c r="J135" s="101" t="str">
        <x:v>Use 4–8 visible, non-repetitive questions. Answer each in 40–80 words. Add schema only when valid and useful.</x:v>
      </x:c>
    </x:row>
    <x:row r="136">
      <x:c r="A136" s="100" t="str">
        <x:v>TO-R07</x:v>
      </x:c>
      <x:c r="B136" s="95" t="str">
        <x:v>P3</x:v>
      </x:c>
      <x:c r="C136" s="95" t="str">
        <x:v>Roundup</x:v>
      </x:c>
      <x:c r="D136" s="95" t="str">
        <x:v>best convection toaster oven</x:v>
      </x:c>
      <x:c r="E136" s="95" t="str">
        <x:v>Best Convection Toaster Ovens</x:v>
      </x:c>
      <x:c r="F136" s="95" t="str">
        <x:v>Quick picks | Comparison table | How we chose these products | Best overall option for best convection toaster oven | Best budget option | Best premium option | Other strong options by use case | Detailed product evaluations | How to choose | Common buying mistakes | Frequently asked questions</x:v>
      </x:c>
      <x:c r="G136" s="95" t="str">
        <x:v>50-word direct answer; ranked list; decision matrix; explicit selection logic; pros/cons; audience fit; concise FAQ answers.</x:v>
      </x:c>
      <x:c r="H136" s="95" t="str">
        <x:v>Top picks table; full comparison table; selection criteria table; optional size/value decision table</x:v>
      </x:c>
      <x:c r="I136" s="95" t="str">
        <x:v>Disclosure → Check price on Amazon; contextual CTA after verdict; alternatives link</x:v>
      </x:c>
      <x:c r="J136" s="101" t="str">
        <x:v>Use 4–8 visible, non-repetitive questions. Answer each in 40–80 words. Add schema only when valid and useful.</x:v>
      </x:c>
    </x:row>
    <x:row r="137">
      <x:c r="A137" s="100" t="str">
        <x:v>TO-R08</x:v>
      </x:c>
      <x:c r="B137" s="95" t="str">
        <x:v>P3</x:v>
      </x:c>
      <x:c r="C137" s="95" t="str">
        <x:v>Roundup</x:v>
      </x:c>
      <x:c r="D137" s="95" t="str">
        <x:v>best easy to clean toaster oven</x:v>
      </x:c>
      <x:c r="E137" s="95" t="str">
        <x:v>Best Easy-to-Clean Toaster Ovens</x:v>
      </x:c>
      <x:c r="F137" s="95" t="str">
        <x:v>Quick picks | Comparison table | How we chose these products | Best overall option for best easy to clean toaster oven | Best budget option | Best premium option | Other strong options by use case | Detailed product evaluations | How to choose | Common buying mistakes | Frequently asked questions</x:v>
      </x:c>
      <x:c r="G137" s="95" t="str">
        <x:v>50-word direct answer; ranked list; decision matrix; explicit selection logic; pros/cons; audience fit; concise FAQ answers.</x:v>
      </x:c>
      <x:c r="H137" s="95" t="str">
        <x:v>Top picks table; full comparison table; selection criteria table; optional size/value decision table</x:v>
      </x:c>
      <x:c r="I137" s="95" t="str">
        <x:v>Disclosure → Check price on Amazon; contextual CTA after verdict; alternatives link</x:v>
      </x:c>
      <x:c r="J137" s="101" t="str">
        <x:v>Use 4–8 visible, non-repetitive questions. Answer each in 40–80 words. Add schema only when valid and useful.</x:v>
      </x:c>
    </x:row>
    <x:row r="138">
      <x:c r="A138" s="100" t="str">
        <x:v>CG-C01</x:v>
      </x:c>
      <x:c r="B138" s="95" t="str">
        <x:v>P3</x:v>
      </x:c>
      <x:c r="C138" s="95" t="str">
        <x:v>Comparison</x:v>
      </x:c>
      <x:c r="D138" s="95" t="str">
        <x:v>burr grinder vs blade grinder</x:v>
      </x:c>
      <x:c r="E138" s="95" t="str">
        <x:v>Burr Grinder vs Blade Grinder</x:v>
      </x:c>
      <x:c r="F138"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38" s="95" t="str">
        <x:v>Direct winner by use case; structured difference table; category-by-category winners; no forced single winner; concise decision summary.</x:v>
      </x:c>
      <x:c r="H138" s="95" t="str">
        <x:v>At-a-glance comparison; category winners; specifications</x:v>
      </x:c>
      <x:c r="I138" s="95" t="str">
        <x:v>Separate clearly labelled CTA for each product; do not bias without evidence</x:v>
      </x:c>
      <x:c r="J138" s="101" t="str">
        <x:v>Use 4–8 visible, non-repetitive questions. Answer each in 40–80 words. Add schema only when valid and useful.</x:v>
      </x:c>
    </x:row>
    <x:row r="139">
      <x:c r="A139" s="100" t="str">
        <x:v>EK-C02</x:v>
      </x:c>
      <x:c r="B139" s="95" t="str">
        <x:v>P3</x:v>
      </x:c>
      <x:c r="C139" s="95" t="str">
        <x:v>Comparison</x:v>
      </x:c>
      <x:c r="D139" s="95" t="str">
        <x:v>glass vs stainless steel kettle</x:v>
      </x:c>
      <x:c r="E139" s="95" t="str">
        <x:v>Glass vs Stainless Steel Electric Kettle</x:v>
      </x:c>
      <x:c r="F139"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39" s="95" t="str">
        <x:v>Direct winner by use case; structured difference table; category-by-category winners; no forced single winner; concise decision summary.</x:v>
      </x:c>
      <x:c r="H139" s="95" t="str">
        <x:v>At-a-glance comparison; category winners; specifications</x:v>
      </x:c>
      <x:c r="I139" s="95" t="str">
        <x:v>Separate clearly labelled CTA for each product; do not bias without evidence</x:v>
      </x:c>
      <x:c r="J139" s="101" t="str">
        <x:v>Use 4–8 visible, non-repetitive questions. Answer each in 40–80 words. Add schema only when valid and useful.</x:v>
      </x:c>
    </x:row>
    <x:row r="140">
      <x:c r="A140" s="100" t="str">
        <x:v>EK-C03</x:v>
      </x:c>
      <x:c r="B140" s="95" t="str">
        <x:v>P3</x:v>
      </x:c>
      <x:c r="C140" s="95" t="str">
        <x:v>Comparison</x:v>
      </x:c>
      <x:c r="D140" s="95" t="str">
        <x:v>variable temperature vs regular kettle</x:v>
      </x:c>
      <x:c r="E140" s="95" t="str">
        <x:v>Variable Temperature vs Basic Electric Kettle</x:v>
      </x:c>
      <x:c r="F140"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0" s="95" t="str">
        <x:v>Direct winner by use case; structured difference table; category-by-category winners; no forced single winner; concise decision summary.</x:v>
      </x:c>
      <x:c r="H140" s="95" t="str">
        <x:v>At-a-glance comparison; category winners; specifications</x:v>
      </x:c>
      <x:c r="I140" s="95" t="str">
        <x:v>Separate clearly labelled CTA for each product; do not bias without evidence</x:v>
      </x:c>
      <x:c r="J140" s="101" t="str">
        <x:v>Use 4–8 visible, non-repetitive questions. Answer each in 40–80 words. Add schema only when valid and useful.</x:v>
      </x:c>
    </x:row>
    <x:row r="141">
      <x:c r="A141" s="100" t="str">
        <x:v>FP-C01</x:v>
      </x:c>
      <x:c r="B141" s="95" t="str">
        <x:v>P3</x:v>
      </x:c>
      <x:c r="C141" s="95" t="str">
        <x:v>Comparison</x:v>
      </x:c>
      <x:c r="D141" s="95" t="str">
        <x:v>cuisinart vs kitchenaid food processor</x:v>
      </x:c>
      <x:c r="E141" s="95" t="str">
        <x:v>Cuisinart vs KitchenAid Food Processor</x:v>
      </x:c>
      <x:c r="F141"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1" s="95" t="str">
        <x:v>Direct winner by use case; structured difference table; category-by-category winners; no forced single winner; concise decision summary.</x:v>
      </x:c>
      <x:c r="H141" s="95" t="str">
        <x:v>At-a-glance comparison; category winners; specifications</x:v>
      </x:c>
      <x:c r="I141" s="95" t="str">
        <x:v>Separate clearly labelled CTA for each product; do not bias without evidence</x:v>
      </x:c>
      <x:c r="J141" s="101" t="str">
        <x:v>Use 4–8 visible, non-repetitive questions. Answer each in 40–80 words. Add schema only when valid and useful.</x:v>
      </x:c>
    </x:row>
    <x:row r="142">
      <x:c r="A142" s="100" t="str">
        <x:v>FP-C02</x:v>
      </x:c>
      <x:c r="B142" s="95" t="str">
        <x:v>P3</x:v>
      </x:c>
      <x:c r="C142" s="95" t="str">
        <x:v>Comparison</x:v>
      </x:c>
      <x:c r="D142" s="95" t="str">
        <x:v>food processor vs mini chopper</x:v>
      </x:c>
      <x:c r="E142" s="95" t="str">
        <x:v>Food Processor vs Mini Chopper</x:v>
      </x:c>
      <x:c r="F142"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2" s="95" t="str">
        <x:v>Direct winner by use case; structured difference table; category-by-category winners; no forced single winner; concise decision summary.</x:v>
      </x:c>
      <x:c r="H142" s="95" t="str">
        <x:v>At-a-glance comparison; category winners; specifications</x:v>
      </x:c>
      <x:c r="I142" s="95" t="str">
        <x:v>Separate clearly labelled CTA for each product; do not bias without evidence</x:v>
      </x:c>
      <x:c r="J142" s="101" t="str">
        <x:v>Use 4–8 visible, non-repetitive questions. Answer each in 40–80 words. Add schema only when valid and useful.</x:v>
      </x:c>
    </x:row>
    <x:row r="143">
      <x:c r="A143" s="100" t="str">
        <x:v>MC-C01</x:v>
      </x:c>
      <x:c r="B143" s="95" t="str">
        <x:v>P3</x:v>
      </x:c>
      <x:c r="C143" s="95" t="str">
        <x:v>Comparison</x:v>
      </x:c>
      <x:c r="D143" s="95" t="str">
        <x:v>mini chopper vs food processor</x:v>
      </x:c>
      <x:c r="E143" s="95" t="str">
        <x:v>Mini Chopper vs Food Processor</x:v>
      </x:c>
      <x:c r="F143"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3" s="95" t="str">
        <x:v>Direct winner by use case; structured difference table; category-by-category winners; no forced single winner; concise decision summary.</x:v>
      </x:c>
      <x:c r="H143" s="95" t="str">
        <x:v>At-a-glance comparison; category winners; specifications</x:v>
      </x:c>
      <x:c r="I143" s="95" t="str">
        <x:v>Separate clearly labelled CTA for each product; do not bias without evidence</x:v>
      </x:c>
      <x:c r="J143" s="101" t="str">
        <x:v>Use 4–8 visible, non-repetitive questions. Answer each in 40–80 words. Add schema only when valid and useful.</x:v>
      </x:c>
    </x:row>
    <x:row r="144">
      <x:c r="A144" s="100" t="str">
        <x:v>RC-C01</x:v>
      </x:c>
      <x:c r="B144" s="95" t="str">
        <x:v>P3</x:v>
      </x:c>
      <x:c r="C144" s="95" t="str">
        <x:v>Comparison</x:v>
      </x:c>
      <x:c r="D144" s="95" t="str">
        <x:v>rice cooker vs instant pot</x:v>
      </x:c>
      <x:c r="E144" s="95" t="str">
        <x:v>Rice Cooker vs Instant Pot</x:v>
      </x:c>
      <x:c r="F144"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4" s="95" t="str">
        <x:v>Direct winner by use case; structured difference table; category-by-category winners; no forced single winner; concise decision summary.</x:v>
      </x:c>
      <x:c r="H144" s="95" t="str">
        <x:v>At-a-glance comparison; category winners; specifications</x:v>
      </x:c>
      <x:c r="I144" s="95" t="str">
        <x:v>Separate clearly labelled CTA for each product; do not bias without evidence</x:v>
      </x:c>
      <x:c r="J144" s="101" t="str">
        <x:v>Use 4–8 visible, non-repetitive questions. Answer each in 40–80 words. Add schema only when valid and useful.</x:v>
      </x:c>
    </x:row>
    <x:row r="145">
      <x:c r="A145" s="100" t="str">
        <x:v>TO-C03</x:v>
      </x:c>
      <x:c r="B145" s="95" t="str">
        <x:v>P3</x:v>
      </x:c>
      <x:c r="C145" s="95" t="str">
        <x:v>Comparison</x:v>
      </x:c>
      <x:c r="D145" s="95" t="str">
        <x:v>toaster oven vs microwave</x:v>
      </x:c>
      <x:c r="E145" s="95" t="str">
        <x:v>Toaster Oven vs Microwave</x:v>
      </x:c>
      <x:c r="F145"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45" s="95" t="str">
        <x:v>Direct winner by use case; structured difference table; category-by-category winners; no forced single winner; concise decision summary.</x:v>
      </x:c>
      <x:c r="H145" s="95" t="str">
        <x:v>At-a-glance comparison; category winners; specifications</x:v>
      </x:c>
      <x:c r="I145" s="95" t="str">
        <x:v>Separate clearly labelled CTA for each product; do not bias without evidence</x:v>
      </x:c>
      <x:c r="J145" s="101" t="str">
        <x:v>Use 4–8 visible, non-repetitive questions. Answer each in 40–80 words. Add schema only when valid and useful.</x:v>
      </x:c>
    </x:row>
    <x:row r="146">
      <x:c r="A146" s="100" t="str">
        <x:v>AF-V06</x:v>
      </x:c>
      <x:c r="B146" s="95" t="str">
        <x:v>P3</x:v>
      </x:c>
      <x:c r="C146" s="95" t="str">
        <x:v>Single Review</x:v>
      </x:c>
      <x:c r="D146" s="95" t="str">
        <x:v>chefman turbofry review</x:v>
      </x:c>
      <x:c r="E146" s="95" t="str">
        <x:v>Chefman TurboFry Air Fryer Review</x:v>
      </x:c>
      <x:c r="F146"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46" s="95" t="str">
        <x:v>One-paragraph verdict; scorecard with measurable criteria; evidence notes; pros/cons; alternatives; buy-if/skip-if; dated review update.</x:v>
      </x:c>
      <x:c r="H146" s="95" t="str">
        <x:v>Specs; scorecard; pros/cons; alternatives comparison</x:v>
      </x:c>
      <x:c r="I146" s="95" t="str">
        <x:v>Primary product CTA after verdict and value section; alternatives each get separate CTA</x:v>
      </x:c>
      <x:c r="J146" s="101" t="str">
        <x:v>Use 4–8 visible, non-repetitive questions. Answer each in 40–80 words. Add schema only when valid and useful.</x:v>
      </x:c>
    </x:row>
    <x:row r="147">
      <x:c r="A147" s="100" t="str">
        <x:v>BL-V05</x:v>
      </x:c>
      <x:c r="B147" s="95" t="str">
        <x:v>P3</x:v>
      </x:c>
      <x:c r="C147" s="95" t="str">
        <x:v>Single Review</x:v>
      </x:c>
      <x:c r="D147" s="95" t="str">
        <x:v>beast blender review</x:v>
      </x:c>
      <x:c r="E147" s="95" t="str">
        <x:v>Beast Blender Review</x:v>
      </x:c>
      <x:c r="F147"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47" s="95" t="str">
        <x:v>One-paragraph verdict; scorecard with measurable criteria; evidence notes; pros/cons; alternatives; buy-if/skip-if; dated review update.</x:v>
      </x:c>
      <x:c r="H147" s="95" t="str">
        <x:v>Specs; scorecard; pros/cons; alternatives comparison</x:v>
      </x:c>
      <x:c r="I147" s="95" t="str">
        <x:v>Primary product CTA after verdict and value section; alternatives each get separate CTA</x:v>
      </x:c>
      <x:c r="J147" s="101" t="str">
        <x:v>Use 4–8 visible, non-repetitive questions. Answer each in 40–80 words. Add schema only when valid and useful.</x:v>
      </x:c>
    </x:row>
    <x:row r="148">
      <x:c r="A148" s="100" t="str">
        <x:v>BL-V06</x:v>
      </x:c>
      <x:c r="B148" s="95" t="str">
        <x:v>P3</x:v>
      </x:c>
      <x:c r="C148" s="95" t="str">
        <x:v>Single Review</x:v>
      </x:c>
      <x:c r="D148" s="95" t="str">
        <x:v>blendjet review</x:v>
      </x:c>
      <x:c r="E148" s="95" t="str">
        <x:v>BlendJet Portable Blender Review</x:v>
      </x:c>
      <x:c r="F148"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48" s="95" t="str">
        <x:v>One-paragraph verdict; scorecard with measurable criteria; evidence notes; pros/cons; alternatives; buy-if/skip-if; dated review update.</x:v>
      </x:c>
      <x:c r="H148" s="95" t="str">
        <x:v>Specs; scorecard; pros/cons; alternatives comparison</x:v>
      </x:c>
      <x:c r="I148" s="95" t="str">
        <x:v>Primary product CTA after verdict and value section; alternatives each get separate CTA</x:v>
      </x:c>
      <x:c r="J148" s="101" t="str">
        <x:v>Use 4–8 visible, non-repetitive questions. Answer each in 40–80 words. Add schema only when valid and useful.</x:v>
      </x:c>
    </x:row>
    <x:row r="149">
      <x:c r="A149" s="100" t="str">
        <x:v>EK-V02</x:v>
      </x:c>
      <x:c r="B149" s="95" t="str">
        <x:v>P3</x:v>
      </x:c>
      <x:c r="C149" s="95" t="str">
        <x:v>Single Review</x:v>
      </x:c>
      <x:c r="D149" s="95" t="str">
        <x:v>cuisinart perfectemp kettle review</x:v>
      </x:c>
      <x:c r="E149" s="95" t="str">
        <x:v>Cuisinart PerfecTemp Kettle Review</x:v>
      </x:c>
      <x:c r="F149"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49" s="95" t="str">
        <x:v>One-paragraph verdict; scorecard with measurable criteria; evidence notes; pros/cons; alternatives; buy-if/skip-if; dated review update.</x:v>
      </x:c>
      <x:c r="H149" s="95" t="str">
        <x:v>Specs; scorecard; pros/cons; alternatives comparison</x:v>
      </x:c>
      <x:c r="I149" s="95" t="str">
        <x:v>Primary product CTA after verdict and value section; alternatives each get separate CTA</x:v>
      </x:c>
      <x:c r="J149" s="101" t="str">
        <x:v>Use 4–8 visible, non-repetitive questions. Answer each in 40–80 words. Add schema only when valid and useful.</x:v>
      </x:c>
    </x:row>
    <x:row r="150">
      <x:c r="A150" s="100" t="str">
        <x:v>EK-V03</x:v>
      </x:c>
      <x:c r="B150" s="95" t="str">
        <x:v>P3</x:v>
      </x:c>
      <x:c r="C150" s="95" t="str">
        <x:v>Single Review</x:v>
      </x:c>
      <x:c r="D150" s="95" t="str">
        <x:v>cosori gooseneck kettle review</x:v>
      </x:c>
      <x:c r="E150" s="95" t="str">
        <x:v>Cosori Gooseneck Kettle Review</x:v>
      </x:c>
      <x:c r="F150"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50" s="95" t="str">
        <x:v>One-paragraph verdict; scorecard with measurable criteria; evidence notes; pros/cons; alternatives; buy-if/skip-if; dated review update.</x:v>
      </x:c>
      <x:c r="H150" s="95" t="str">
        <x:v>Specs; scorecard; pros/cons; alternatives comparison</x:v>
      </x:c>
      <x:c r="I150" s="95" t="str">
        <x:v>Primary product CTA after verdict and value section; alternatives each get separate CTA</x:v>
      </x:c>
      <x:c r="J150" s="101" t="str">
        <x:v>Use 4–8 visible, non-repetitive questions. Answer each in 40–80 words. Add schema only when valid and useful.</x:v>
      </x:c>
    </x:row>
    <x:row r="151">
      <x:c r="A151" s="100" t="str">
        <x:v>FP-V01</x:v>
      </x:c>
      <x:c r="B151" s="95" t="str">
        <x:v>P3</x:v>
      </x:c>
      <x:c r="C151" s="95" t="str">
        <x:v>Single Review</x:v>
      </x:c>
      <x:c r="D151" s="95" t="str">
        <x:v>cuisinart 14 cup food processor review</x:v>
      </x:c>
      <x:c r="E151" s="95" t="str">
        <x:v>Cuisinart 14-Cup Food Processor Review</x:v>
      </x:c>
      <x:c r="F151"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51" s="95" t="str">
        <x:v>One-paragraph verdict; scorecard with measurable criteria; evidence notes; pros/cons; alternatives; buy-if/skip-if; dated review update.</x:v>
      </x:c>
      <x:c r="H151" s="95" t="str">
        <x:v>Specs; scorecard; pros/cons; alternatives comparison</x:v>
      </x:c>
      <x:c r="I151" s="95" t="str">
        <x:v>Primary product CTA after verdict and value section; alternatives each get separate CTA</x:v>
      </x:c>
      <x:c r="J151" s="101" t="str">
        <x:v>Use 4–8 visible, non-repetitive questions. Answer each in 40–80 words. Add schema only when valid and useful.</x:v>
      </x:c>
    </x:row>
    <x:row r="152">
      <x:c r="A152" s="100" t="str">
        <x:v>TO-V02</x:v>
      </x:c>
      <x:c r="B152" s="95" t="str">
        <x:v>P3</x:v>
      </x:c>
      <x:c r="C152" s="95" t="str">
        <x:v>Single Review</x:v>
      </x:c>
      <x:c r="D152" s="95" t="str">
        <x:v>cuisinart chefs convection toaster oven review</x:v>
      </x:c>
      <x:c r="E152" s="95" t="str">
        <x:v>Cuisinart Chef's Convection Toaster Oven Review</x:v>
      </x:c>
      <x:c r="F152"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52" s="95" t="str">
        <x:v>One-paragraph verdict; scorecard with measurable criteria; evidence notes; pros/cons; alternatives; buy-if/skip-if; dated review update.</x:v>
      </x:c>
      <x:c r="H152" s="95" t="str">
        <x:v>Specs; scorecard; pros/cons; alternatives comparison</x:v>
      </x:c>
      <x:c r="I152" s="95" t="str">
        <x:v>Primary product CTA after verdict and value section; alternatives each get separate CTA</x:v>
      </x:c>
      <x:c r="J152" s="101" t="str">
        <x:v>Use 4–8 visible, non-repetitive questions. Answer each in 40–80 words. Add schema only when valid and useful.</x:v>
      </x:c>
    </x:row>
    <x:row r="153">
      <x:c r="A153" s="100" t="str">
        <x:v>TO-V03</x:v>
      </x:c>
      <x:c r="B153" s="95" t="str">
        <x:v>P3</x:v>
      </x:c>
      <x:c r="C153" s="95" t="str">
        <x:v>Single Review</x:v>
      </x:c>
      <x:c r="D153" s="95" t="str">
        <x:v>ninja foodi digital air fry oven review</x:v>
      </x:c>
      <x:c r="E153" s="95" t="str">
        <x:v>Ninja Foodi Digital Air Fry Oven Review</x:v>
      </x:c>
      <x:c r="F153"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153" s="95" t="str">
        <x:v>One-paragraph verdict; scorecard with measurable criteria; evidence notes; pros/cons; alternatives; buy-if/skip-if; dated review update.</x:v>
      </x:c>
      <x:c r="H153" s="95" t="str">
        <x:v>Specs; scorecard; pros/cons; alternatives comparison</x:v>
      </x:c>
      <x:c r="I153" s="95" t="str">
        <x:v>Primary product CTA after verdict and value section; alternatives each get separate CTA</x:v>
      </x:c>
      <x:c r="J153" s="101" t="str">
        <x:v>Use 4–8 visible, non-repetitive questions. Answer each in 40–80 words. Add schema only when valid and useful.</x:v>
      </x:c>
    </x:row>
    <x:row r="154">
      <x:c r="A154" s="100" t="str">
        <x:v>AF-G10</x:v>
      </x:c>
      <x:c r="B154" s="95" t="str">
        <x:v>P3</x:v>
      </x:c>
      <x:c r="C154" s="95" t="str">
        <x:v>Buying Guide</x:v>
      </x:c>
      <x:c r="D154" s="95" t="str">
        <x:v>air fryer safety guide</x:v>
      </x:c>
      <x:c r="E154" s="95" t="str">
        <x:v>Air Fryer Safety and Material Guide</x:v>
      </x:c>
      <x:c r="F154"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4" s="95" t="str">
        <x:v>Definition and direct recommendation; criteria table; ranges and thresholds; decision tree; mistakes; links to commercial pages; concise FAQs.</x:v>
      </x:c>
      <x:c r="H154" s="95" t="str">
        <x:v>Feature thresholds; size/capacity chart; decision tree</x:v>
      </x:c>
      <x:c r="I154" s="95" t="str">
        <x:v>Contextual links to 2–4 relevant roundups/reviews</x:v>
      </x:c>
      <x:c r="J154" s="101" t="str">
        <x:v>Use 4–8 visible, non-repetitive questions. Answer each in 40–80 words. Add schema only when valid and useful.</x:v>
      </x:c>
    </x:row>
    <x:row r="155">
      <x:c r="A155" s="100" t="str">
        <x:v>CG-G01</x:v>
      </x:c>
      <x:c r="B155" s="95" t="str">
        <x:v>P3</x:v>
      </x:c>
      <x:c r="C155" s="95" t="str">
        <x:v>Buying Guide</x:v>
      </x:c>
      <x:c r="D155" s="95" t="str">
        <x:v>coffee grinder buying guide</x:v>
      </x:c>
      <x:c r="E155" s="95" t="str">
        <x:v>Coffee Grinder Buying Guide</x:v>
      </x:c>
      <x:c r="F155"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5" s="95" t="str">
        <x:v>Definition and direct recommendation; criteria table; ranges and thresholds; decision tree; mistakes; links to commercial pages; concise FAQs.</x:v>
      </x:c>
      <x:c r="H155" s="95" t="str">
        <x:v>Feature thresholds; size/capacity chart; decision tree</x:v>
      </x:c>
      <x:c r="I155" s="95" t="str">
        <x:v>Contextual links to 2–4 relevant roundups/reviews</x:v>
      </x:c>
      <x:c r="J155" s="101" t="str">
        <x:v>Use 4–8 visible, non-repetitive questions. Answer each in 40–80 words. Add schema only when valid and useful.</x:v>
      </x:c>
    </x:row>
    <x:row r="156">
      <x:c r="A156" s="100" t="str">
        <x:v>CC-G10</x:v>
      </x:c>
      <x:c r="B156" s="95" t="str">
        <x:v>P3</x:v>
      </x:c>
      <x:c r="C156" s="95" t="str">
        <x:v>Buying Guide</x:v>
      </x:c>
      <x:c r="D156" s="95" t="str">
        <x:v>kitchen appliance warranty guide</x:v>
      </x:c>
      <x:c r="E156" s="95" t="str">
        <x:v>Kitchen Appliance Warranty Guide</x:v>
      </x:c>
      <x:c r="F156"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6" s="95" t="str">
        <x:v>Definition and direct recommendation; criteria table; ranges and thresholds; decision tree; mistakes; links to commercial pages; concise FAQs.</x:v>
      </x:c>
      <x:c r="H156" s="95" t="str">
        <x:v>Feature thresholds; size/capacity chart; decision tree</x:v>
      </x:c>
      <x:c r="I156" s="95" t="str">
        <x:v>Contextual links to 2–4 relevant roundups/reviews</x:v>
      </x:c>
      <x:c r="J156" s="101" t="str">
        <x:v>Use 4–8 visible, non-repetitive questions. Answer each in 40–80 words. Add schema only when valid and useful.</x:v>
      </x:c>
    </x:row>
    <x:row r="157">
      <x:c r="A157" s="100" t="str">
        <x:v>FP-G01</x:v>
      </x:c>
      <x:c r="B157" s="95" t="str">
        <x:v>P3</x:v>
      </x:c>
      <x:c r="C157" s="95" t="str">
        <x:v>Buying Guide</x:v>
      </x:c>
      <x:c r="D157" s="95" t="str">
        <x:v>food processor buying guide</x:v>
      </x:c>
      <x:c r="E157" s="95" t="str">
        <x:v>Food Processor Buying Guide</x:v>
      </x:c>
      <x:c r="F157"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7" s="95" t="str">
        <x:v>Definition and direct recommendation; criteria table; ranges and thresholds; decision tree; mistakes; links to commercial pages; concise FAQs.</x:v>
      </x:c>
      <x:c r="H157" s="95" t="str">
        <x:v>Feature thresholds; size/capacity chart; decision tree</x:v>
      </x:c>
      <x:c r="I157" s="95" t="str">
        <x:v>Contextual links to 2–4 relevant roundups/reviews</x:v>
      </x:c>
      <x:c r="J157" s="101" t="str">
        <x:v>Use 4–8 visible, non-repetitive questions. Answer each in 40–80 words. Add schema only when valid and useful.</x:v>
      </x:c>
    </x:row>
    <x:row r="158">
      <x:c r="A158" s="100" t="str">
        <x:v>MC-G01</x:v>
      </x:c>
      <x:c r="B158" s="95" t="str">
        <x:v>P3</x:v>
      </x:c>
      <x:c r="C158" s="95" t="str">
        <x:v>Buying Guide</x:v>
      </x:c>
      <x:c r="D158" s="95" t="str">
        <x:v>mini food chopper buying guide</x:v>
      </x:c>
      <x:c r="E158" s="95" t="str">
        <x:v>Mini Food Chopper Buying Guide</x:v>
      </x:c>
      <x:c r="F158"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8" s="95" t="str">
        <x:v>Definition and direct recommendation; criteria table; ranges and thresholds; decision tree; mistakes; links to commercial pages; concise FAQs.</x:v>
      </x:c>
      <x:c r="H158" s="95" t="str">
        <x:v>Feature thresholds; size/capacity chart; decision tree</x:v>
      </x:c>
      <x:c r="I158" s="95" t="str">
        <x:v>Contextual links to 2–4 relevant roundups/reviews</x:v>
      </x:c>
      <x:c r="J158" s="101" t="str">
        <x:v>Use 4–8 visible, non-repetitive questions. Answer each in 40–80 words. Add schema only when valid and useful.</x:v>
      </x:c>
    </x:row>
    <x:row r="159">
      <x:c r="A159" s="100" t="str">
        <x:v>RC-G01</x:v>
      </x:c>
      <x:c r="B159" s="95" t="str">
        <x:v>P3</x:v>
      </x:c>
      <x:c r="C159" s="95" t="str">
        <x:v>Buying Guide</x:v>
      </x:c>
      <x:c r="D159" s="95" t="str">
        <x:v>rice cooker buying guide</x:v>
      </x:c>
      <x:c r="E159" s="95" t="str">
        <x:v>Rice Cooker Buying Guide</x:v>
      </x:c>
      <x:c r="F159"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159" s="95" t="str">
        <x:v>Definition and direct recommendation; criteria table; ranges and thresholds; decision tree; mistakes; links to commercial pages; concise FAQs.</x:v>
      </x:c>
      <x:c r="H159" s="95" t="str">
        <x:v>Feature thresholds; size/capacity chart; decision tree</x:v>
      </x:c>
      <x:c r="I159" s="95" t="str">
        <x:v>Contextual links to 2–4 relevant roundups/reviews</x:v>
      </x:c>
      <x:c r="J159" s="101" t="str">
        <x:v>Use 4–8 visible, non-repetitive questions. Answer each in 40–80 words. Add schema only when valid and useful.</x:v>
      </x:c>
    </x:row>
    <x:row r="160">
      <x:c r="A160" s="100" t="str">
        <x:v>CC-G07</x:v>
      </x:c>
      <x:c r="B160" s="95" t="str">
        <x:v>P3</x:v>
      </x:c>
      <x:c r="C160" s="95" t="str">
        <x:v>Accessory Roundup</x:v>
      </x:c>
      <x:c r="D160" s="95" t="str">
        <x:v>best appliance cord organizer</x:v>
      </x:c>
      <x:c r="E160" s="95" t="str">
        <x:v>Best Cord Organizers for Countertop Appliances</x:v>
      </x:c>
      <x:c r="F160" s="95" t="str">
        <x:v>Quick picks | Comparison table | How we chose these products | Best overall option for best appliance cord organizer | Best budget option | Best premium option | Other strong options by use case | Detailed product evaluations | How to choose | Common buying mistakes | Frequently asked questions</x:v>
      </x:c>
      <x:c r="G160" s="95" t="str">
        <x:v>50-word direct answer; ranked list; decision matrix; explicit selection logic; pros/cons; audience fit; concise FAQ answers.</x:v>
      </x:c>
      <x:c r="H160" s="95" t="str">
        <x:v>Top picks table; full comparison table; selection criteria table; optional size/value decision table</x:v>
      </x:c>
      <x:c r="I160" s="95" t="str">
        <x:v>Disclosure → Check price on Amazon; contextual CTA after verdict; alternatives link</x:v>
      </x:c>
      <x:c r="J160" s="101" t="str">
        <x:v>Use 4–8 visible, non-repetitive questions. Answer each in 40–80 words. Add schema only when valid and useful.</x:v>
      </x:c>
    </x:row>
    <x:row r="161">
      <x:c r="A161" s="100" t="str">
        <x:v>AF-G08</x:v>
      </x:c>
      <x:c r="B161" s="95" t="str">
        <x:v>P3</x:v>
      </x:c>
      <x:c r="C161" s="95" t="str">
        <x:v>Informational</x:v>
      </x:c>
      <x:c r="D161" s="95" t="str">
        <x:v>how long do air fryers last</x:v>
      </x:c>
      <x:c r="E161" s="95" t="str">
        <x:v>How Long Do Air Fryers Last?</x:v>
      </x:c>
      <x:c r="F161" s="95" t="str">
        <x:v>Direct answer | Why this happens or why it matters | Key factors that change the answer | Practical examples | What to do next | Important limitations and safety notes | Related product recommendations | Frequently asked questions</x:v>
      </x:c>
      <x:c r="G161" s="95" t="str">
        <x:v>40–60 word direct answer; definitions; conditions/exceptions; practical table; next-step recommendation; concise FAQs.</x:v>
      </x:c>
      <x:c r="H161" s="95" t="str">
        <x:v>Answer/condition table or troubleshooting table where useful</x:v>
      </x:c>
      <x:c r="I161" s="95" t="str">
        <x:v>Only contextual affiliate links when genuinely helpful</x:v>
      </x:c>
      <x:c r="J161" s="101" t="str">
        <x:v>Use 4–8 visible, non-repetitive questions. Answer each in 40–80 words. Add schema only when valid and useful.</x:v>
      </x:c>
    </x:row>
    <x:row r="162">
      <x:c r="A162" s="100" t="str">
        <x:v>BL-G05</x:v>
      </x:c>
      <x:c r="B162" s="95" t="str">
        <x:v>P3</x:v>
      </x:c>
      <x:c r="C162" s="95" t="str">
        <x:v>Informational</x:v>
      </x:c>
      <x:c r="D162" s="95" t="str">
        <x:v>why does my blender smell burnt</x:v>
      </x:c>
      <x:c r="E162" s="95" t="str">
        <x:v>Why Does My Blender Smell Burnt?</x:v>
      </x:c>
      <x:c r="F162" s="95" t="str">
        <x:v>Direct answer | Why this happens or why it matters | Key factors that change the answer | Practical examples | What to do next | Important limitations and safety notes | Related product recommendations | Frequently asked questions</x:v>
      </x:c>
      <x:c r="G162" s="95" t="str">
        <x:v>40–60 word direct answer; definitions; conditions/exceptions; practical table; next-step recommendation; concise FAQs.</x:v>
      </x:c>
      <x:c r="H162" s="95" t="str">
        <x:v>Answer/condition table or troubleshooting table where useful</x:v>
      </x:c>
      <x:c r="I162" s="95" t="str">
        <x:v>Only contextual affiliate links when genuinely helpful</x:v>
      </x:c>
      <x:c r="J162" s="101" t="str">
        <x:v>Use 4–8 visible, non-repetitive questions. Answer each in 40–80 words. Add schema only when valid and useful.</x:v>
      </x:c>
    </x:row>
    <x:row r="163">
      <x:c r="A163" s="100" t="str">
        <x:v>BL-G06</x:v>
      </x:c>
      <x:c r="B163" s="95" t="str">
        <x:v>P3</x:v>
      </x:c>
      <x:c r="C163" s="95" t="str">
        <x:v>Informational</x:v>
      </x:c>
      <x:c r="D163" s="95" t="str">
        <x:v>why is my blender leaking</x:v>
      </x:c>
      <x:c r="E163" s="95" t="str">
        <x:v>Why Is My Blender Leaking?</x:v>
      </x:c>
      <x:c r="F163" s="95" t="str">
        <x:v>Direct answer | Why this happens or why it matters | Key factors that change the answer | Practical examples | What to do next | Important limitations and safety notes | Related product recommendations | Frequently asked questions</x:v>
      </x:c>
      <x:c r="G163" s="95" t="str">
        <x:v>40–60 word direct answer; definitions; conditions/exceptions; practical table; next-step recommendation; concise FAQs.</x:v>
      </x:c>
      <x:c r="H163" s="95" t="str">
        <x:v>Answer/condition table or troubleshooting table where useful</x:v>
      </x:c>
      <x:c r="I163" s="95" t="str">
        <x:v>Only contextual affiliate links when genuinely helpful</x:v>
      </x:c>
      <x:c r="J163" s="101" t="str">
        <x:v>Use 4–8 visible, non-repetitive questions. Answer each in 40–80 words. Add schema only when valid and useful.</x:v>
      </x:c>
    </x:row>
    <x:row r="164">
      <x:c r="A164" s="100" t="str">
        <x:v>BL-G09</x:v>
      </x:c>
      <x:c r="B164" s="95" t="str">
        <x:v>P3</x:v>
      </x:c>
      <x:c r="C164" s="95" t="str">
        <x:v>Informational</x:v>
      </x:c>
      <x:c r="D164" s="95" t="str">
        <x:v>how long do blenders last</x:v>
      </x:c>
      <x:c r="E164" s="95" t="str">
        <x:v>How Long Do Blenders Last?</x:v>
      </x:c>
      <x:c r="F164" s="95" t="str">
        <x:v>Direct answer | Why this happens or why it matters | Key factors that change the answer | Practical examples | What to do next | Important limitations and safety notes | Related product recommendations | Frequently asked questions</x:v>
      </x:c>
      <x:c r="G164" s="95" t="str">
        <x:v>40–60 word direct answer; definitions; conditions/exceptions; practical table; next-step recommendation; concise FAQs.</x:v>
      </x:c>
      <x:c r="H164" s="95" t="str">
        <x:v>Answer/condition table or troubleshooting table where useful</x:v>
      </x:c>
      <x:c r="I164" s="95" t="str">
        <x:v>Only contextual affiliate links when genuinely helpful</x:v>
      </x:c>
      <x:c r="J164" s="101" t="str">
        <x:v>Use 4–8 visible, non-repetitive questions. Answer each in 40–80 words. Add schema only when valid and useful.</x:v>
      </x:c>
    </x:row>
    <x:row r="165">
      <x:c r="A165" s="100" t="str">
        <x:v>BL-G10</x:v>
      </x:c>
      <x:c r="B165" s="95" t="str">
        <x:v>P3</x:v>
      </x:c>
      <x:c r="C165" s="95" t="str">
        <x:v>Informational</x:v>
      </x:c>
      <x:c r="D165" s="95" t="str">
        <x:v>is a high powered blender worth it</x:v>
      </x:c>
      <x:c r="E165" s="95" t="str">
        <x:v>Is a High-Powered Blender Worth It?</x:v>
      </x:c>
      <x:c r="F165" s="95" t="str">
        <x:v>Direct answer | Why this happens or why it matters | Key factors that change the answer | Practical examples | What to do next | Important limitations and safety notes | Related product recommendations | Frequently asked questions</x:v>
      </x:c>
      <x:c r="G165" s="95" t="str">
        <x:v>40–60 word direct answer; definitions; conditions/exceptions; practical table; next-step recommendation; concise FAQs.</x:v>
      </x:c>
      <x:c r="H165" s="95" t="str">
        <x:v>Answer/condition table or troubleshooting table where useful</x:v>
      </x:c>
      <x:c r="I165" s="95" t="str">
        <x:v>Only contextual affiliate links when genuinely helpful</x:v>
      </x:c>
      <x:c r="J165" s="101" t="str">
        <x:v>Use 4–8 visible, non-repetitive questions. Answer each in 40–80 words. Add schema only when valid and useful.</x:v>
      </x:c>
    </x:row>
    <x:row r="166">
      <x:c r="A166" s="100" t="str">
        <x:v>CG-G02</x:v>
      </x:c>
      <x:c r="B166" s="95" t="str">
        <x:v>P3</x:v>
      </x:c>
      <x:c r="C166" s="95" t="str">
        <x:v>Informational</x:v>
      </x:c>
      <x:c r="D166" s="95" t="str">
        <x:v>coffee grind size chart</x:v>
      </x:c>
      <x:c r="E166" s="95" t="str">
        <x:v>Coffee Grind Size Chart</x:v>
      </x:c>
      <x:c r="F166" s="95" t="str">
        <x:v>Direct answer | Why this happens or why it matters | Key factors that change the answer | Practical examples | What to do next | Important limitations and safety notes | Related product recommendations | Frequently asked questions</x:v>
      </x:c>
      <x:c r="G166" s="95" t="str">
        <x:v>40–60 word direct answer; definitions; conditions/exceptions; practical table; next-step recommendation; concise FAQs.</x:v>
      </x:c>
      <x:c r="H166" s="95" t="str">
        <x:v>Answer/condition table or troubleshooting table where useful</x:v>
      </x:c>
      <x:c r="I166" s="95" t="str">
        <x:v>Only contextual affiliate links when genuinely helpful</x:v>
      </x:c>
      <x:c r="J166" s="101" t="str">
        <x:v>Use 4–8 visible, non-repetitive questions. Answer each in 40–80 words. Add schema only when valid and useful.</x:v>
      </x:c>
    </x:row>
    <x:row r="167">
      <x:c r="A167" s="100" t="str">
        <x:v>CC-G09</x:v>
      </x:c>
      <x:c r="B167" s="95" t="str">
        <x:v>P3</x:v>
      </x:c>
      <x:c r="C167" s="95" t="str">
        <x:v>Informational</x:v>
      </x:c>
      <x:c r="D167" s="95" t="str">
        <x:v>when to replace kitchen appliances</x:v>
      </x:c>
      <x:c r="E167" s="95" t="str">
        <x:v>When Should You Replace a Small Kitchen Appliance?</x:v>
      </x:c>
      <x:c r="F167" s="95" t="str">
        <x:v>Direct answer | Why this happens or why it matters | Key factors that change the answer | Practical examples | What to do next | Important limitations and safety notes | Related product recommendations | Frequently asked questions</x:v>
      </x:c>
      <x:c r="G167" s="95" t="str">
        <x:v>40–60 word direct answer; definitions; conditions/exceptions; practical table; next-step recommendation; concise FAQs.</x:v>
      </x:c>
      <x:c r="H167" s="95" t="str">
        <x:v>Answer/condition table or troubleshooting table where useful</x:v>
      </x:c>
      <x:c r="I167" s="95" t="str">
        <x:v>Only contextual affiliate links when genuinely helpful</x:v>
      </x:c>
      <x:c r="J167" s="101" t="str">
        <x:v>Use 4–8 visible, non-repetitive questions. Answer each in 40–80 words. Add schema only when valid and useful.</x:v>
      </x:c>
    </x:row>
    <x:row r="168">
      <x:c r="A168" s="100" t="str">
        <x:v>EK-G02</x:v>
      </x:c>
      <x:c r="B168" s="95" t="str">
        <x:v>P3</x:v>
      </x:c>
      <x:c r="C168" s="95" t="str">
        <x:v>Informational</x:v>
      </x:c>
      <x:c r="D168" s="95" t="str">
        <x:v>tea water temperature guide</x:v>
      </x:c>
      <x:c r="E168" s="95" t="str">
        <x:v>What Temperature Should Tea Water Be?</x:v>
      </x:c>
      <x:c r="F168" s="95" t="str">
        <x:v>Direct answer | Why this happens or why it matters | Key factors that change the answer | Practical examples | What to do next | Important limitations and safety notes | Related product recommendations | Frequently asked questions</x:v>
      </x:c>
      <x:c r="G168" s="95" t="str">
        <x:v>40–60 word direct answer; definitions; conditions/exceptions; practical table; next-step recommendation; concise FAQs.</x:v>
      </x:c>
      <x:c r="H168" s="95" t="str">
        <x:v>Answer/condition table or troubleshooting table where useful</x:v>
      </x:c>
      <x:c r="I168" s="95" t="str">
        <x:v>Only contextual affiliate links when genuinely helpful</x:v>
      </x:c>
      <x:c r="J168" s="101" t="str">
        <x:v>Use 4–8 visible, non-repetitive questions. Answer each in 40–80 words. Add schema only when valid and useful.</x:v>
      </x:c>
    </x:row>
    <x:row r="169">
      <x:c r="A169" s="100" t="str">
        <x:v>EK-G04</x:v>
      </x:c>
      <x:c r="B169" s="95" t="str">
        <x:v>P3</x:v>
      </x:c>
      <x:c r="C169" s="95" t="str">
        <x:v>Informational</x:v>
      </x:c>
      <x:c r="D169" s="95" t="str">
        <x:v>electric kettle wattage</x:v>
      </x:c>
      <x:c r="E169" s="95" t="str">
        <x:v>How Many Watts Does an Electric Kettle Use?</x:v>
      </x:c>
      <x:c r="F169" s="95" t="str">
        <x:v>Direct answer | Why this happens or why it matters | Key factors that change the answer | Practical examples | What to do next | Important limitations and safety notes | Related product recommendations | Frequently asked questions</x:v>
      </x:c>
      <x:c r="G169" s="95" t="str">
        <x:v>40–60 word direct answer; definitions; conditions/exceptions; practical table; next-step recommendation; concise FAQs.</x:v>
      </x:c>
      <x:c r="H169" s="95" t="str">
        <x:v>Answer/condition table or troubleshooting table where useful</x:v>
      </x:c>
      <x:c r="I169" s="95" t="str">
        <x:v>Only contextual affiliate links when genuinely helpful</x:v>
      </x:c>
      <x:c r="J169" s="101" t="str">
        <x:v>Use 4–8 visible, non-repetitive questions. Answer each in 40–80 words. Add schema only when valid and useful.</x:v>
      </x:c>
    </x:row>
    <x:row r="170">
      <x:c r="A170" s="100" t="str">
        <x:v>EK-G05</x:v>
      </x:c>
      <x:c r="B170" s="95" t="str">
        <x:v>P3</x:v>
      </x:c>
      <x:c r="C170" s="95" t="str">
        <x:v>Informational</x:v>
      </x:c>
      <x:c r="D170" s="95" t="str">
        <x:v>are glass electric kettles safe</x:v>
      </x:c>
      <x:c r="E170" s="95" t="str">
        <x:v>Are Glass Electric Kettles Safe?</x:v>
      </x:c>
      <x:c r="F170" s="95" t="str">
        <x:v>Direct answer | Why this happens or why it matters | Key factors that change the answer | Practical examples | What to do next | Important limitations and safety notes | Related product recommendations | Frequently asked questions</x:v>
      </x:c>
      <x:c r="G170" s="95" t="str">
        <x:v>40–60 word direct answer; definitions; conditions/exceptions; practical table; next-step recommendation; concise FAQs.</x:v>
      </x:c>
      <x:c r="H170" s="95" t="str">
        <x:v>Answer/condition table or troubleshooting table where useful</x:v>
      </x:c>
      <x:c r="I170" s="95" t="str">
        <x:v>Only contextual affiliate links when genuinely helpful</x:v>
      </x:c>
      <x:c r="J170" s="101" t="str">
        <x:v>Use 4–8 visible, non-repetitive questions. Answer each in 40–80 words. Add schema only when valid and useful.</x:v>
      </x:c>
    </x:row>
    <x:row r="171">
      <x:c r="A171" s="100" t="str">
        <x:v>EK-G06</x:v>
      </x:c>
      <x:c r="B171" s="95" t="str">
        <x:v>P3</x:v>
      </x:c>
      <x:c r="C171" s="95" t="str">
        <x:v>Informational</x:v>
      </x:c>
      <x:c r="D171" s="95" t="str">
        <x:v>how long do electric kettles last</x:v>
      </x:c>
      <x:c r="E171" s="95" t="str">
        <x:v>How Long Do Electric Kettles Last?</x:v>
      </x:c>
      <x:c r="F171" s="95" t="str">
        <x:v>Direct answer | Why this happens or why it matters | Key factors that change the answer | Practical examples | What to do next | Important limitations and safety notes | Related product recommendations | Frequently asked questions</x:v>
      </x:c>
      <x:c r="G171" s="95" t="str">
        <x:v>40–60 word direct answer; definitions; conditions/exceptions; practical table; next-step recommendation; concise FAQs.</x:v>
      </x:c>
      <x:c r="H171" s="95" t="str">
        <x:v>Answer/condition table or troubleshooting table where useful</x:v>
      </x:c>
      <x:c r="I171" s="95" t="str">
        <x:v>Only contextual affiliate links when genuinely helpful</x:v>
      </x:c>
      <x:c r="J171" s="101" t="str">
        <x:v>Use 4–8 visible, non-repetitive questions. Answer each in 40–80 words. Add schema only when valid and useful.</x:v>
      </x:c>
    </x:row>
    <x:row r="172">
      <x:c r="A172" s="100" t="str">
        <x:v>EK-G07</x:v>
      </x:c>
      <x:c r="B172" s="95" t="str">
        <x:v>P3</x:v>
      </x:c>
      <x:c r="C172" s="95" t="str">
        <x:v>Informational</x:v>
      </x:c>
      <x:c r="D172" s="95" t="str">
        <x:v>do electric kettles turn off automatically</x:v>
      </x:c>
      <x:c r="E172" s="95" t="str">
        <x:v>Do Electric Kettles Turn Off Automatically?</x:v>
      </x:c>
      <x:c r="F172" s="95" t="str">
        <x:v>Direct answer | Why this happens or why it matters | Key factors that change the answer | Practical examples | What to do next | Important limitations and safety notes | Related product recommendations | Frequently asked questions</x:v>
      </x:c>
      <x:c r="G172" s="95" t="str">
        <x:v>40–60 word direct answer; definitions; conditions/exceptions; practical table; next-step recommendation; concise FAQs.</x:v>
      </x:c>
      <x:c r="H172" s="95" t="str">
        <x:v>Answer/condition table or troubleshooting table where useful</x:v>
      </x:c>
      <x:c r="I172" s="95" t="str">
        <x:v>Only contextual affiliate links when genuinely helpful</x:v>
      </x:c>
      <x:c r="J172" s="101" t="str">
        <x:v>Use 4–8 visible, non-repetitive questions. Answer each in 40–80 words. Add schema only when valid and useful.</x:v>
      </x:c>
    </x:row>
    <x:row r="173">
      <x:c r="A173" s="100" t="str">
        <x:v>FP-G02</x:v>
      </x:c>
      <x:c r="B173" s="95" t="str">
        <x:v>P3</x:v>
      </x:c>
      <x:c r="C173" s="95" t="str">
        <x:v>Informational</x:v>
      </x:c>
      <x:c r="D173" s="95" t="str">
        <x:v>what size food processor do i need</x:v>
      </x:c>
      <x:c r="E173" s="95" t="str">
        <x:v>What Size Food Processor Do I Need?</x:v>
      </x:c>
      <x:c r="F173" s="95" t="str">
        <x:v>Direct answer | Why this happens or why it matters | Key factors that change the answer | Practical examples | What to do next | Important limitations and safety notes | Related product recommendations | Frequently asked questions</x:v>
      </x:c>
      <x:c r="G173" s="95" t="str">
        <x:v>40–60 word direct answer; definitions; conditions/exceptions; practical table; next-step recommendation; concise FAQs.</x:v>
      </x:c>
      <x:c r="H173" s="95" t="str">
        <x:v>Answer/condition table or troubleshooting table where useful</x:v>
      </x:c>
      <x:c r="I173" s="95" t="str">
        <x:v>Only contextual affiliate links when genuinely helpful</x:v>
      </x:c>
      <x:c r="J173" s="101" t="str">
        <x:v>Use 4–8 visible, non-repetitive questions. Answer each in 40–80 words. Add schema only when valid and useful.</x:v>
      </x:c>
    </x:row>
    <x:row r="174">
      <x:c r="A174" s="100" t="str">
        <x:v>FP-G05</x:v>
      </x:c>
      <x:c r="B174" s="95" t="str">
        <x:v>P3</x:v>
      </x:c>
      <x:c r="C174" s="95" t="str">
        <x:v>Informational</x:v>
      </x:c>
      <x:c r="D174" s="95" t="str">
        <x:v>can a food processor knead dough</x:v>
      </x:c>
      <x:c r="E174" s="95" t="str">
        <x:v>Can a Food Processor Knead Dough?</x:v>
      </x:c>
      <x:c r="F174" s="95" t="str">
        <x:v>Direct answer | Why this happens or why it matters | Key factors that change the answer | Practical examples | What to do next | Important limitations and safety notes | Related product recommendations | Frequently asked questions</x:v>
      </x:c>
      <x:c r="G174" s="95" t="str">
        <x:v>40–60 word direct answer; definitions; conditions/exceptions; practical table; next-step recommendation; concise FAQs.</x:v>
      </x:c>
      <x:c r="H174" s="95" t="str">
        <x:v>Answer/condition table or troubleshooting table where useful</x:v>
      </x:c>
      <x:c r="I174" s="95" t="str">
        <x:v>Only contextual affiliate links when genuinely helpful</x:v>
      </x:c>
      <x:c r="J174" s="101" t="str">
        <x:v>Use 4–8 visible, non-repetitive questions. Answer each in 40–80 words. Add schema only when valid and useful.</x:v>
      </x:c>
    </x:row>
    <x:row r="175">
      <x:c r="A175" s="100" t="str">
        <x:v>RC-G02</x:v>
      </x:c>
      <x:c r="B175" s="95" t="str">
        <x:v>P3</x:v>
      </x:c>
      <x:c r="C175" s="95" t="str">
        <x:v>Informational</x:v>
      </x:c>
      <x:c r="D175" s="95" t="str">
        <x:v>what size rice cooker do i need</x:v>
      </x:c>
      <x:c r="E175" s="95" t="str">
        <x:v>What Size Rice Cooker Do I Need?</x:v>
      </x:c>
      <x:c r="F175" s="95" t="str">
        <x:v>Direct answer | Why this happens or why it matters | Key factors that change the answer | Practical examples | What to do next | Important limitations and safety notes | Related product recommendations | Frequently asked questions</x:v>
      </x:c>
      <x:c r="G175" s="95" t="str">
        <x:v>40–60 word direct answer; definitions; conditions/exceptions; practical table; next-step recommendation; concise FAQs.</x:v>
      </x:c>
      <x:c r="H175" s="95" t="str">
        <x:v>Answer/condition table or troubleshooting table where useful</x:v>
      </x:c>
      <x:c r="I175" s="95" t="str">
        <x:v>Only contextual affiliate links when genuinely helpful</x:v>
      </x:c>
      <x:c r="J175" s="101" t="str">
        <x:v>Use 4–8 visible, non-repetitive questions. Answer each in 40–80 words. Add schema only when valid and useful.</x:v>
      </x:c>
    </x:row>
    <x:row r="176">
      <x:c r="A176" s="100" t="str">
        <x:v>TO-G02</x:v>
      </x:c>
      <x:c r="B176" s="95" t="str">
        <x:v>P3</x:v>
      </x:c>
      <x:c r="C176" s="95" t="str">
        <x:v>Informational</x:v>
      </x:c>
      <x:c r="D176" s="95" t="str">
        <x:v>what size toaster oven do i need</x:v>
      </x:c>
      <x:c r="E176" s="95" t="str">
        <x:v>What Size Toaster Oven Do I Need?</x:v>
      </x:c>
      <x:c r="F176" s="95" t="str">
        <x:v>Direct answer | Why this happens or why it matters | Key factors that change the answer | Practical examples | What to do next | Important limitations and safety notes | Related product recommendations | Frequently asked questions</x:v>
      </x:c>
      <x:c r="G176" s="95" t="str">
        <x:v>40–60 word direct answer; definitions; conditions/exceptions; practical table; next-step recommendation; concise FAQs.</x:v>
      </x:c>
      <x:c r="H176" s="95" t="str">
        <x:v>Answer/condition table or troubleshooting table where useful</x:v>
      </x:c>
      <x:c r="I176" s="95" t="str">
        <x:v>Only contextual affiliate links when genuinely helpful</x:v>
      </x:c>
      <x:c r="J176" s="101" t="str">
        <x:v>Use 4–8 visible, non-repetitive questions. Answer each in 40–80 words. Add schema only when valid and useful.</x:v>
      </x:c>
    </x:row>
    <x:row r="177">
      <x:c r="A177" s="100" t="str">
        <x:v>TO-G04</x:v>
      </x:c>
      <x:c r="B177" s="95" t="str">
        <x:v>P3</x:v>
      </x:c>
      <x:c r="C177" s="95" t="str">
        <x:v>Informational</x:v>
      </x:c>
      <x:c r="D177" s="95" t="str">
        <x:v>can you bake in a toaster oven</x:v>
      </x:c>
      <x:c r="E177" s="95" t="str">
        <x:v>Can You Bake in a Toaster Oven?</x:v>
      </x:c>
      <x:c r="F177" s="95" t="str">
        <x:v>Direct answer | Why this happens or why it matters | Key factors that change the answer | Practical examples | What to do next | Important limitations and safety notes | Related product recommendations | Frequently asked questions</x:v>
      </x:c>
      <x:c r="G177" s="95" t="str">
        <x:v>40–60 word direct answer; definitions; conditions/exceptions; practical table; next-step recommendation; concise FAQs.</x:v>
      </x:c>
      <x:c r="H177" s="95" t="str">
        <x:v>Answer/condition table or troubleshooting table where useful</x:v>
      </x:c>
      <x:c r="I177" s="95" t="str">
        <x:v>Only contextual affiliate links when genuinely helpful</x:v>
      </x:c>
      <x:c r="J177" s="101" t="str">
        <x:v>Use 4–8 visible, non-repetitive questions. Answer each in 40–80 words. Add schema only when valid and useful.</x:v>
      </x:c>
    </x:row>
    <x:row r="178">
      <x:c r="A178" s="100" t="str">
        <x:v>TO-G05</x:v>
      </x:c>
      <x:c r="B178" s="95" t="str">
        <x:v>P3</x:v>
      </x:c>
      <x:c r="C178" s="95" t="str">
        <x:v>Informational</x:v>
      </x:c>
      <x:c r="D178" s="95" t="str">
        <x:v>toaster oven power consumption</x:v>
      </x:c>
      <x:c r="E178" s="95" t="str">
        <x:v>How Much Electricity Does a Toaster Oven Use?</x:v>
      </x:c>
      <x:c r="F178" s="95" t="str">
        <x:v>Direct answer | Why this happens or why it matters | Key factors that change the answer | Practical examples | What to do next | Important limitations and safety notes | Related product recommendations | Frequently asked questions</x:v>
      </x:c>
      <x:c r="G178" s="95" t="str">
        <x:v>40–60 word direct answer; definitions; conditions/exceptions; practical table; next-step recommendation; concise FAQs.</x:v>
      </x:c>
      <x:c r="H178" s="95" t="str">
        <x:v>Answer/condition table or troubleshooting table where useful</x:v>
      </x:c>
      <x:c r="I178" s="95" t="str">
        <x:v>Only contextual affiliate links when genuinely helpful</x:v>
      </x:c>
      <x:c r="J178" s="101" t="str">
        <x:v>Use 4–8 visible, non-repetitive questions. Answer each in 40–80 words. Add schema only when valid and useful.</x:v>
      </x:c>
    </x:row>
    <x:row r="179">
      <x:c r="A179" s="100" t="str">
        <x:v>CC-G08</x:v>
      </x:c>
      <x:c r="B179" s="95" t="str">
        <x:v>P3</x:v>
      </x:c>
      <x:c r="C179" s="95" t="str">
        <x:v>How-To</x:v>
      </x:c>
      <x:c r="D179" s="95" t="str">
        <x:v>how to clean grease from kitchen appliances</x:v>
      </x:c>
      <x:c r="E179" s="95" t="str">
        <x:v>How to Clean Grease from Countertop Appliances</x:v>
      </x:c>
      <x:c r="F179" s="95" t="str">
        <x:v>Quick answer | What you need | Step-by-step instructions | What to avoid | Troubleshooting common problems | Safety and manufacturer guidance | When replacement or service is better | Frequently asked questions</x:v>
      </x:c>
      <x:c r="G179" s="95" t="str">
        <x:v>Numbered steps; short answer at top; safety caveats; troubleshooting table; outcome checks; concise FAQs.</x:v>
      </x:c>
      <x:c r="H179" s="95" t="str">
        <x:v>Answer/condition table or troubleshooting table where useful</x:v>
      </x:c>
      <x:c r="I179" s="95" t="str">
        <x:v>Only contextual affiliate links when genuinely helpful</x:v>
      </x:c>
      <x:c r="J179" s="101" t="str">
        <x:v>Use 4–8 visible, non-repetitive questions. Answer each in 40–80 words. Add schema only when valid and useful.</x:v>
      </x:c>
    </x:row>
    <x:row r="180">
      <x:c r="A180" s="100" t="str">
        <x:v>FP-G03</x:v>
      </x:c>
      <x:c r="B180" s="95" t="str">
        <x:v>P3</x:v>
      </x:c>
      <x:c r="C180" s="95" t="str">
        <x:v>How-To</x:v>
      </x:c>
      <x:c r="D180" s="95" t="str">
        <x:v>how to use a food processor</x:v>
      </x:c>
      <x:c r="E180" s="95" t="str">
        <x:v>How to Use a Food Processor</x:v>
      </x:c>
      <x:c r="F180" s="95" t="str">
        <x:v>Quick answer | What you need | Step-by-step instructions | What to avoid | Troubleshooting common problems | Safety and manufacturer guidance | When replacement or service is better | Frequently asked questions</x:v>
      </x:c>
      <x:c r="G180" s="95" t="str">
        <x:v>Numbered steps; short answer at top; safety caveats; troubleshooting table; outcome checks; concise FAQs.</x:v>
      </x:c>
      <x:c r="H180" s="95" t="str">
        <x:v>Answer/condition table or troubleshooting table where useful</x:v>
      </x:c>
      <x:c r="I180" s="95" t="str">
        <x:v>Only contextual affiliate links when genuinely helpful</x:v>
      </x:c>
      <x:c r="J180" s="101" t="str">
        <x:v>Use 4–8 visible, non-repetitive questions. Answer each in 40–80 words. Add schema only when valid and useful.</x:v>
      </x:c>
    </x:row>
    <x:row r="181">
      <x:c r="A181" s="100" t="str">
        <x:v>TO-G03</x:v>
      </x:c>
      <x:c r="B181" s="95" t="str">
        <x:v>P3</x:v>
      </x:c>
      <x:c r="C181" s="95" t="str">
        <x:v>How-To</x:v>
      </x:c>
      <x:c r="D181" s="95" t="str">
        <x:v>how to clean a toaster oven</x:v>
      </x:c>
      <x:c r="E181" s="95" t="str">
        <x:v>How to Clean a Toaster Oven</x:v>
      </x:c>
      <x:c r="F181" s="95" t="str">
        <x:v>Quick answer | What you need | Step-by-step instructions | What to avoid | Troubleshooting common problems | Safety and manufacturer guidance | When replacement or service is better | Frequently asked questions</x:v>
      </x:c>
      <x:c r="G181" s="95" t="str">
        <x:v>Numbered steps; short answer at top; safety caveats; troubleshooting table; outcome checks; concise FAQs.</x:v>
      </x:c>
      <x:c r="H181" s="95" t="str">
        <x:v>Answer/condition table or troubleshooting table where useful</x:v>
      </x:c>
      <x:c r="I181" s="95" t="str">
        <x:v>Only contextual affiliate links when genuinely helpful</x:v>
      </x:c>
      <x:c r="J181" s="101" t="str">
        <x:v>Use 4–8 visible, non-repetitive questions. Answer each in 40–80 words. Add schema only when valid and useful.</x:v>
      </x:c>
    </x:row>
    <x:row r="182">
      <x:c r="A182" s="100" t="str">
        <x:v>WM-HUB</x:v>
      </x:c>
      <x:c r="B182" s="95" t="str">
        <x:v>P4</x:v>
      </x:c>
      <x:c r="C182" s="95" t="str">
        <x:v>Category Hub</x:v>
      </x:c>
      <x:c r="D182" s="95" t="str">
        <x:v>waffle maker reviews and buying guides</x:v>
      </x:c>
      <x:c r="E182" s="95" t="str">
        <x:v>Waffle Maker Reviews, Comparisons and Buying Guides</x:v>
      </x:c>
      <x:c r="F182" s="95" t="str">
        <x:v>Quick answer: how to choose the right waffle makers | Best picks by budget and use case | Browse all best-of roundups | Latest individual reviews | Head-to-head comparisons | Buying guides and troubleshooting | How CounterCrave evaluates products | Frequently asked questions</x:v>
      </x:c>
      <x:c r="G182" s="95" t="str">
        <x:v>40–60 word category summary; decision table; category taxonomy; links to best answers; methodology statement; concise FAQ answers.</x:v>
      </x:c>
      <x:c r="H182" s="95" t="str">
        <x:v>Best-by-use-case navigation table; latest content list</x:v>
      </x:c>
      <x:c r="I182" s="95" t="str">
        <x:v>Internal links first; minimal direct Amazon CTAs</x:v>
      </x:c>
      <x:c r="J182" s="101" t="str">
        <x:v>Use 4–8 visible, non-repetitive questions. Answer each in 40–80 words. Add schema only when valid and useful.</x:v>
      </x:c>
    </x:row>
    <x:row r="183">
      <x:c r="A183" s="100" t="str">
        <x:v>WM-PIL</x:v>
      </x:c>
      <x:c r="B183" s="95" t="str">
        <x:v>P4</x:v>
      </x:c>
      <x:c r="C183" s="95" t="str">
        <x:v>Commercial Pillar</x:v>
      </x:c>
      <x:c r="D183" s="95" t="str">
        <x:v>best waffle makers</x:v>
      </x:c>
      <x:c r="E183" s="95" t="str">
        <x:v>Best Waffle Makers for Belgian and Classic Waffles</x:v>
      </x:c>
      <x:c r="F183" s="95" t="str">
        <x:v>Our top picks at a glance | Comparison table | How we selected and evaluated the products | Best overall recommendation | Best value recommendation | Best premium recommendation | Best options by specific use case | How to choose the right product | Who should buy and who should skip | Alternatives worth considering | Frequently asked questions</x:v>
      </x:c>
      <x:c r="G183" s="95" t="str">
        <x:v>Answer-first verdict; top-three table; measurable selection criteria; each pick has buy-if/skip-if; clear alternatives; short fact-based FAQs.</x:v>
      </x:c>
      <x:c r="H183" s="95" t="str">
        <x:v>Top picks table; full comparison table; selection criteria table; optional size/value decision table</x:v>
      </x:c>
      <x:c r="I183" s="95" t="str">
        <x:v>Disclosure → Check price on Amazon; contextual CTA after verdict; alternatives link</x:v>
      </x:c>
      <x:c r="J183" s="101" t="str">
        <x:v>Use 4–8 visible, non-repetitive questions. Answer each in 40–80 words. Add schema only when valid and useful.</x:v>
      </x:c>
    </x:row>
    <x:row r="184">
      <x:c r="A184" s="100" t="str">
        <x:v>CG-R04</x:v>
      </x:c>
      <x:c r="B184" s="95" t="str">
        <x:v>P4</x:v>
      </x:c>
      <x:c r="C184" s="95" t="str">
        <x:v>Roundup</x:v>
      </x:c>
      <x:c r="D184" s="95" t="str">
        <x:v>best coffee grinder for pour over</x:v>
      </x:c>
      <x:c r="E184" s="95" t="str">
        <x:v>Best Coffee Grinders for Pour-Over</x:v>
      </x:c>
      <x:c r="F184" s="95" t="str">
        <x:v>Quick picks | Comparison table | How we chose these products | Best overall option for best coffee grinder for pour over | Best budget option | Best premium option | Other strong options by use case | Detailed product evaluations | How to choose | Common buying mistakes | Frequently asked questions</x:v>
      </x:c>
      <x:c r="G184" s="95" t="str">
        <x:v>50-word direct answer; ranked list; decision matrix; explicit selection logic; pros/cons; audience fit; concise FAQ answers.</x:v>
      </x:c>
      <x:c r="H184" s="95" t="str">
        <x:v>Top picks table; full comparison table; selection criteria table; optional size/value decision table</x:v>
      </x:c>
      <x:c r="I184" s="95" t="str">
        <x:v>Disclosure → Check price on Amazon; contextual CTA after verdict; alternatives link</x:v>
      </x:c>
      <x:c r="J184" s="101" t="str">
        <x:v>Use 4–8 visible, non-repetitive questions. Answer each in 40–80 words. Add schema only when valid and useful.</x:v>
      </x:c>
    </x:row>
    <x:row r="185">
      <x:c r="A185" s="100" t="str">
        <x:v>CG-R05</x:v>
      </x:c>
      <x:c r="B185" s="95" t="str">
        <x:v>P4</x:v>
      </x:c>
      <x:c r="C185" s="95" t="str">
        <x:v>Roundup</x:v>
      </x:c>
      <x:c r="D185" s="95" t="str">
        <x:v>best coffee grinder for french press</x:v>
      </x:c>
      <x:c r="E185" s="95" t="str">
        <x:v>Best Coffee Grinders for French Press</x:v>
      </x:c>
      <x:c r="F185" s="95" t="str">
        <x:v>Quick picks | Comparison table | How we chose these products | Best overall option for best coffee grinder for french press | Best budget option | Best premium option | Other strong options by use case | Detailed product evaluations | How to choose | Common buying mistakes | Frequently asked questions</x:v>
      </x:c>
      <x:c r="G185" s="95" t="str">
        <x:v>50-word direct answer; ranked list; decision matrix; explicit selection logic; pros/cons; audience fit; concise FAQ answers.</x:v>
      </x:c>
      <x:c r="H185" s="95" t="str">
        <x:v>Top picks table; full comparison table; selection criteria table; optional size/value decision table</x:v>
      </x:c>
      <x:c r="I185" s="95" t="str">
        <x:v>Disclosure → Check price on Amazon; contextual CTA after verdict; alternatives link</x:v>
      </x:c>
      <x:c r="J185" s="101" t="str">
        <x:v>Use 4–8 visible, non-repetitive questions. Answer each in 40–80 words. Add schema only when valid and useful.</x:v>
      </x:c>
    </x:row>
    <x:row r="186">
      <x:c r="A186" s="100" t="str">
        <x:v>CG-R06</x:v>
      </x:c>
      <x:c r="B186" s="95" t="str">
        <x:v>P4</x:v>
      </x:c>
      <x:c r="C186" s="95" t="str">
        <x:v>Roundup</x:v>
      </x:c>
      <x:c r="D186" s="95" t="str">
        <x:v>quietest coffee grinder</x:v>
      </x:c>
      <x:c r="E186" s="95" t="str">
        <x:v>Best Quiet Coffee Grinders</x:v>
      </x:c>
      <x:c r="F186" s="95" t="str">
        <x:v>Quick picks | Comparison table | How we chose these products | Best overall option for quietest coffee grinder | Best budget option | Best premium option | Other strong options by use case | Detailed product evaluations | How to choose | Common buying mistakes | Frequently asked questions</x:v>
      </x:c>
      <x:c r="G186" s="95" t="str">
        <x:v>50-word direct answer; ranked list; decision matrix; explicit selection logic; pros/cons; audience fit; concise FAQ answers.</x:v>
      </x:c>
      <x:c r="H186" s="95" t="str">
        <x:v>Top picks table; full comparison table; selection criteria table; optional size/value decision table</x:v>
      </x:c>
      <x:c r="I186" s="95" t="str">
        <x:v>Disclosure → Check price on Amazon; contextual CTA after verdict; alternatives link</x:v>
      </x:c>
      <x:c r="J186" s="101" t="str">
        <x:v>Use 4–8 visible, non-repetitive questions. Answer each in 40–80 words. Add schema only when valid and useful.</x:v>
      </x:c>
    </x:row>
    <x:row r="187">
      <x:c r="A187" s="100" t="str">
        <x:v>CG-R07</x:v>
      </x:c>
      <x:c r="B187" s="95" t="str">
        <x:v>P4</x:v>
      </x:c>
      <x:c r="C187" s="95" t="str">
        <x:v>Roundup</x:v>
      </x:c>
      <x:c r="D187" s="95" t="str">
        <x:v>best compact coffee grinder</x:v>
      </x:c>
      <x:c r="E187" s="95" t="str">
        <x:v>Best Compact Coffee Grinders</x:v>
      </x:c>
      <x:c r="F187" s="95" t="str">
        <x:v>Quick picks | Comparison table | How we chose these products | Best overall option for best compact coffee grinder | Best budget option | Best premium option | Other strong options by use case | Detailed product evaluations | How to choose | Common buying mistakes | Frequently asked questions</x:v>
      </x:c>
      <x:c r="G187" s="95" t="str">
        <x:v>50-word direct answer; ranked list; decision matrix; explicit selection logic; pros/cons; audience fit; concise FAQ answers.</x:v>
      </x:c>
      <x:c r="H187" s="95" t="str">
        <x:v>Top picks table; full comparison table; selection criteria table; optional size/value decision table</x:v>
      </x:c>
      <x:c r="I187" s="95" t="str">
        <x:v>Disclosure → Check price on Amazon; contextual CTA after verdict; alternatives link</x:v>
      </x:c>
      <x:c r="J187" s="101" t="str">
        <x:v>Use 4–8 visible, non-repetitive questions. Answer each in 40–80 words. Add schema only when valid and useful.</x:v>
      </x:c>
    </x:row>
    <x:row r="188">
      <x:c r="A188" s="100" t="str">
        <x:v>FP-R07</x:v>
      </x:c>
      <x:c r="B188" s="95" t="str">
        <x:v>P4</x:v>
      </x:c>
      <x:c r="C188" s="95" t="str">
        <x:v>Roundup</x:v>
      </x:c>
      <x:c r="D188" s="95" t="str">
        <x:v>best food processor for large family</x:v>
      </x:c>
      <x:c r="E188" s="95" t="str">
        <x:v>Best Food Processors for Large Families</x:v>
      </x:c>
      <x:c r="F188" s="95" t="str">
        <x:v>Quick picks | Comparison table | How we chose these products | Best overall option for best food processor for large family | Best budget option | Best premium option | Other strong options by use case | Detailed product evaluations | How to choose | Common buying mistakes | Frequently asked questions</x:v>
      </x:c>
      <x:c r="G188" s="95" t="str">
        <x:v>50-word direct answer; ranked list; decision matrix; explicit selection logic; pros/cons; audience fit; concise FAQ answers.</x:v>
      </x:c>
      <x:c r="H188" s="95" t="str">
        <x:v>Top picks table; full comparison table; selection criteria table; optional size/value decision table</x:v>
      </x:c>
      <x:c r="I188" s="95" t="str">
        <x:v>Disclosure → Check price on Amazon; contextual CTA after verdict; alternatives link</x:v>
      </x:c>
      <x:c r="J188" s="101" t="str">
        <x:v>Use 4–8 visible, non-repetitive questions. Answer each in 40–80 words. Add schema only when valid and useful.</x:v>
      </x:c>
    </x:row>
    <x:row r="189">
      <x:c r="A189" s="100" t="str">
        <x:v>FP-R08</x:v>
      </x:c>
      <x:c r="B189" s="95" t="str">
        <x:v>P4</x:v>
      </x:c>
      <x:c r="C189" s="95" t="str">
        <x:v>Roundup</x:v>
      </x:c>
      <x:c r="D189" s="95" t="str">
        <x:v>best easy to clean food processor</x:v>
      </x:c>
      <x:c r="E189" s="95" t="str">
        <x:v>Best Easy-to-Clean Food Processors</x:v>
      </x:c>
      <x:c r="F189" s="95" t="str">
        <x:v>Quick picks | Comparison table | How we chose these products | Best overall option for best easy to clean food processor | Best budget option | Best premium option | Other strong options by use case | Detailed product evaluations | How to choose | Common buying mistakes | Frequently asked questions</x:v>
      </x:c>
      <x:c r="G189" s="95" t="str">
        <x:v>50-word direct answer; ranked list; decision matrix; explicit selection logic; pros/cons; audience fit; concise FAQ answers.</x:v>
      </x:c>
      <x:c r="H189" s="95" t="str">
        <x:v>Top picks table; full comparison table; selection criteria table; optional size/value decision table</x:v>
      </x:c>
      <x:c r="I189" s="95" t="str">
        <x:v>Disclosure → Check price on Amazon; contextual CTA after verdict; alternatives link</x:v>
      </x:c>
      <x:c r="J189" s="101" t="str">
        <x:v>Use 4–8 visible, non-repetitive questions. Answer each in 40–80 words. Add schema only when valid and useful.</x:v>
      </x:c>
    </x:row>
    <x:row r="190">
      <x:c r="A190" s="100" t="str">
        <x:v>MC-R04</x:v>
      </x:c>
      <x:c r="B190" s="95" t="str">
        <x:v>P4</x:v>
      </x:c>
      <x:c r="C190" s="95" t="str">
        <x:v>Roundup</x:v>
      </x:c>
      <x:c r="D190" s="95" t="str">
        <x:v>best mini chopper for garlic</x:v>
      </x:c>
      <x:c r="E190" s="95" t="str">
        <x:v>Best Mini Choppers for Garlic</x:v>
      </x:c>
      <x:c r="F190" s="95" t="str">
        <x:v>Quick picks | Comparison table | How we chose these products | Best overall option for best mini chopper for garlic | Best budget option | Best premium option | Other strong options by use case | Detailed product evaluations | How to choose | Common buying mistakes | Frequently asked questions</x:v>
      </x:c>
      <x:c r="G190" s="95" t="str">
        <x:v>50-word direct answer; ranked list; decision matrix; explicit selection logic; pros/cons; audience fit; concise FAQ answers.</x:v>
      </x:c>
      <x:c r="H190" s="95" t="str">
        <x:v>Top picks table; full comparison table; selection criteria table; optional size/value decision table</x:v>
      </x:c>
      <x:c r="I190" s="95" t="str">
        <x:v>Disclosure → Check price on Amazon; contextual CTA after verdict; alternatives link</x:v>
      </x:c>
      <x:c r="J190" s="101" t="str">
        <x:v>Use 4–8 visible, non-repetitive questions. Answer each in 40–80 words. Add schema only when valid and useful.</x:v>
      </x:c>
    </x:row>
    <x:row r="191">
      <x:c r="A191" s="100" t="str">
        <x:v>MC-R05</x:v>
      </x:c>
      <x:c r="B191" s="95" t="str">
        <x:v>P4</x:v>
      </x:c>
      <x:c r="C191" s="95" t="str">
        <x:v>Roundup</x:v>
      </x:c>
      <x:c r="D191" s="95" t="str">
        <x:v>best cordless mini chopper</x:v>
      </x:c>
      <x:c r="E191" s="95" t="str">
        <x:v>Best Cordless Mini Choppers</x:v>
      </x:c>
      <x:c r="F191" s="95" t="str">
        <x:v>Quick picks | Comparison table | How we chose these products | Best overall option for best cordless mini chopper | Best budget option | Best premium option | Other strong options by use case | Detailed product evaluations | How to choose | Common buying mistakes | Frequently asked questions</x:v>
      </x:c>
      <x:c r="G191" s="95" t="str">
        <x:v>50-word direct answer; ranked list; decision matrix; explicit selection logic; pros/cons; audience fit; concise FAQ answers.</x:v>
      </x:c>
      <x:c r="H191" s="95" t="str">
        <x:v>Top picks table; full comparison table; selection criteria table; optional size/value decision table</x:v>
      </x:c>
      <x:c r="I191" s="95" t="str">
        <x:v>Disclosure → Check price on Amazon; contextual CTA after verdict; alternatives link</x:v>
      </x:c>
      <x:c r="J191" s="101" t="str">
        <x:v>Use 4–8 visible, non-repetitive questions. Answer each in 40–80 words. Add schema only when valid and useful.</x:v>
      </x:c>
    </x:row>
    <x:row r="192">
      <x:c r="A192" s="100" t="str">
        <x:v>RC-R04</x:v>
      </x:c>
      <x:c r="B192" s="95" t="str">
        <x:v>P4</x:v>
      </x:c>
      <x:c r="C192" s="95" t="str">
        <x:v>Roundup</x:v>
      </x:c>
      <x:c r="D192" s="95" t="str">
        <x:v>best rice cooker for sticky rice</x:v>
      </x:c>
      <x:c r="E192" s="95" t="str">
        <x:v>Best Rice Cookers for Sticky Rice</x:v>
      </x:c>
      <x:c r="F192" s="95" t="str">
        <x:v>Quick picks | Comparison table | How we chose these products | Best overall option for best rice cooker for sticky rice | Best budget option | Best premium option | Other strong options by use case | Detailed product evaluations | How to choose | Common buying mistakes | Frequently asked questions</x:v>
      </x:c>
      <x:c r="G192" s="95" t="str">
        <x:v>50-word direct answer; ranked list; decision matrix; explicit selection logic; pros/cons; audience fit; concise FAQ answers.</x:v>
      </x:c>
      <x:c r="H192" s="95" t="str">
        <x:v>Top picks table; full comparison table; selection criteria table; optional size/value decision table</x:v>
      </x:c>
      <x:c r="I192" s="95" t="str">
        <x:v>Disclosure → Check price on Amazon; contextual CTA after verdict; alternatives link</x:v>
      </x:c>
      <x:c r="J192" s="101" t="str">
        <x:v>Use 4–8 visible, non-repetitive questions. Answer each in 40–80 words. Add schema only when valid and useful.</x:v>
      </x:c>
    </x:row>
    <x:row r="193">
      <x:c r="A193" s="100" t="str">
        <x:v>RC-R05</x:v>
      </x:c>
      <x:c r="B193" s="95" t="str">
        <x:v>P4</x:v>
      </x:c>
      <x:c r="C193" s="95" t="str">
        <x:v>Roundup</x:v>
      </x:c>
      <x:c r="D193" s="95" t="str">
        <x:v>best rice cooker for large family</x:v>
      </x:c>
      <x:c r="E193" s="95" t="str">
        <x:v>Best Rice Cookers for Large Families</x:v>
      </x:c>
      <x:c r="F193" s="95" t="str">
        <x:v>Quick picks | Comparison table | How we chose these products | Best overall option for best rice cooker for large family | Best budget option | Best premium option | Other strong options by use case | Detailed product evaluations | How to choose | Common buying mistakes | Frequently asked questions</x:v>
      </x:c>
      <x:c r="G193" s="95" t="str">
        <x:v>50-word direct answer; ranked list; decision matrix; explicit selection logic; pros/cons; audience fit; concise FAQ answers.</x:v>
      </x:c>
      <x:c r="H193" s="95" t="str">
        <x:v>Top picks table; full comparison table; selection criteria table; optional size/value decision table</x:v>
      </x:c>
      <x:c r="I193" s="95" t="str">
        <x:v>Disclosure → Check price on Amazon; contextual CTA after verdict; alternatives link</x:v>
      </x:c>
      <x:c r="J193" s="101" t="str">
        <x:v>Use 4–8 visible, non-repetitive questions. Answer each in 40–80 words. Add schema only when valid and useful.</x:v>
      </x:c>
    </x:row>
    <x:row r="194">
      <x:c r="A194" s="100" t="str">
        <x:v>RC-R06</x:v>
      </x:c>
      <x:c r="B194" s="95" t="str">
        <x:v>P4</x:v>
      </x:c>
      <x:c r="C194" s="95" t="str">
        <x:v>Roundup</x:v>
      </x:c>
      <x:c r="D194" s="95" t="str">
        <x:v>best japanese rice cooker</x:v>
      </x:c>
      <x:c r="E194" s="95" t="str">
        <x:v>Best Japanese Rice Cookers</x:v>
      </x:c>
      <x:c r="F194" s="95" t="str">
        <x:v>Quick picks | Comparison table | How we chose these products | Best overall option for best japanese rice cooker | Best budget option | Best premium option | Other strong options by use case | Detailed product evaluations | How to choose | Common buying mistakes | Frequently asked questions</x:v>
      </x:c>
      <x:c r="G194" s="95" t="str">
        <x:v>50-word direct answer; ranked list; decision matrix; explicit selection logic; pros/cons; audience fit; concise FAQ answers.</x:v>
      </x:c>
      <x:c r="H194" s="95" t="str">
        <x:v>Top picks table; full comparison table; selection criteria table; optional size/value decision table</x:v>
      </x:c>
      <x:c r="I194" s="95" t="str">
        <x:v>Disclosure → Check price on Amazon; contextual CTA after verdict; alternatives link</x:v>
      </x:c>
      <x:c r="J194" s="101" t="str">
        <x:v>Use 4–8 visible, non-repetitive questions. Answer each in 40–80 words. Add schema only when valid and useful.</x:v>
      </x:c>
    </x:row>
    <x:row r="195">
      <x:c r="A195" s="100" t="str">
        <x:v>WM-R01</x:v>
      </x:c>
      <x:c r="B195" s="95" t="str">
        <x:v>P4</x:v>
      </x:c>
      <x:c r="C195" s="95" t="str">
        <x:v>Roundup</x:v>
      </x:c>
      <x:c r="D195" s="95" t="str">
        <x:v>best waffle maker under $50</x:v>
      </x:c>
      <x:c r="E195" s="95" t="str">
        <x:v>Best Waffle Makers Under $50</x:v>
      </x:c>
      <x:c r="F195" s="95" t="str">
        <x:v>Quick picks | Comparison table | How we chose these products | Best overall option for best waffle maker under $50 | Best budget option | Best premium option | Other strong options by use case | Detailed product evaluations | How to choose | Common buying mistakes | Frequently asked questions</x:v>
      </x:c>
      <x:c r="G195" s="95" t="str">
        <x:v>50-word direct answer; ranked list; decision matrix; explicit selection logic; pros/cons; audience fit; concise FAQ answers.</x:v>
      </x:c>
      <x:c r="H195" s="95" t="str">
        <x:v>Top picks table; full comparison table; selection criteria table; optional size/value decision table</x:v>
      </x:c>
      <x:c r="I195" s="95" t="str">
        <x:v>Disclosure → Check price on Amazon; contextual CTA after verdict; alternatives link</x:v>
      </x:c>
      <x:c r="J195" s="101" t="str">
        <x:v>Use 4–8 visible, non-repetitive questions. Answer each in 40–80 words. Add schema only when valid and useful.</x:v>
      </x:c>
    </x:row>
    <x:row r="196">
      <x:c r="A196" s="100" t="str">
        <x:v>WM-R02</x:v>
      </x:c>
      <x:c r="B196" s="95" t="str">
        <x:v>P4</x:v>
      </x:c>
      <x:c r="C196" s="95" t="str">
        <x:v>Roundup</x:v>
      </x:c>
      <x:c r="D196" s="95" t="str">
        <x:v>best belgian waffle maker</x:v>
      </x:c>
      <x:c r="E196" s="95" t="str">
        <x:v>Best Belgian Waffle Makers</x:v>
      </x:c>
      <x:c r="F196" s="95" t="str">
        <x:v>Quick picks | Comparison table | How we chose these products | Best overall option for best belgian waffle maker | Best budget option | Best premium option | Other strong options by use case | Detailed product evaluations | How to choose | Common buying mistakes | Frequently asked questions</x:v>
      </x:c>
      <x:c r="G196" s="95" t="str">
        <x:v>50-word direct answer; ranked list; decision matrix; explicit selection logic; pros/cons; audience fit; concise FAQ answers.</x:v>
      </x:c>
      <x:c r="H196" s="95" t="str">
        <x:v>Top picks table; full comparison table; selection criteria table; optional size/value decision table</x:v>
      </x:c>
      <x:c r="I196" s="95" t="str">
        <x:v>Disclosure → Check price on Amazon; contextual CTA after verdict; alternatives link</x:v>
      </x:c>
      <x:c r="J196" s="101" t="str">
        <x:v>Use 4–8 visible, non-repetitive questions. Answer each in 40–80 words. Add schema only when valid and useful.</x:v>
      </x:c>
    </x:row>
    <x:row r="197">
      <x:c r="A197" s="100" t="str">
        <x:v>WM-R03</x:v>
      </x:c>
      <x:c r="B197" s="95" t="str">
        <x:v>P4</x:v>
      </x:c>
      <x:c r="C197" s="95" t="str">
        <x:v>Roundup</x:v>
      </x:c>
      <x:c r="D197" s="95" t="str">
        <x:v>best mini waffle maker</x:v>
      </x:c>
      <x:c r="E197" s="95" t="str">
        <x:v>Best Mini Waffle Makers</x:v>
      </x:c>
      <x:c r="F197" s="95" t="str">
        <x:v>Quick picks | Comparison table | How we chose these products | Best overall option for best mini waffle maker | Best budget option | Best premium option | Other strong options by use case | Detailed product evaluations | How to choose | Common buying mistakes | Frequently asked questions</x:v>
      </x:c>
      <x:c r="G197" s="95" t="str">
        <x:v>50-word direct answer; ranked list; decision matrix; explicit selection logic; pros/cons; audience fit; concise FAQ answers.</x:v>
      </x:c>
      <x:c r="H197" s="95" t="str">
        <x:v>Top picks table; full comparison table; selection criteria table; optional size/value decision table</x:v>
      </x:c>
      <x:c r="I197" s="95" t="str">
        <x:v>Disclosure → Check price on Amazon; contextual CTA after verdict; alternatives link</x:v>
      </x:c>
      <x:c r="J197" s="101" t="str">
        <x:v>Use 4–8 visible, non-repetitive questions. Answer each in 40–80 words. Add schema only when valid and useful.</x:v>
      </x:c>
    </x:row>
    <x:row r="198">
      <x:c r="A198" s="100" t="str">
        <x:v>WM-R04</x:v>
      </x:c>
      <x:c r="B198" s="95" t="str">
        <x:v>P4</x:v>
      </x:c>
      <x:c r="C198" s="95" t="str">
        <x:v>Roundup</x:v>
      </x:c>
      <x:c r="D198" s="95" t="str">
        <x:v>best flip waffle maker</x:v>
      </x:c>
      <x:c r="E198" s="95" t="str">
        <x:v>Best Flip Waffle Makers</x:v>
      </x:c>
      <x:c r="F198" s="95" t="str">
        <x:v>Quick picks | Comparison table | How we chose these products | Best overall option for best flip waffle maker | Best budget option | Best premium option | Other strong options by use case | Detailed product evaluations | How to choose | Common buying mistakes | Frequently asked questions</x:v>
      </x:c>
      <x:c r="G198" s="95" t="str">
        <x:v>50-word direct answer; ranked list; decision matrix; explicit selection logic; pros/cons; audience fit; concise FAQ answers.</x:v>
      </x:c>
      <x:c r="H198" s="95" t="str">
        <x:v>Top picks table; full comparison table; selection criteria table; optional size/value decision table</x:v>
      </x:c>
      <x:c r="I198" s="95" t="str">
        <x:v>Disclosure → Check price on Amazon; contextual CTA after verdict; alternatives link</x:v>
      </x:c>
      <x:c r="J198" s="101" t="str">
        <x:v>Use 4–8 visible, non-repetitive questions. Answer each in 40–80 words. Add schema only when valid and useful.</x:v>
      </x:c>
    </x:row>
    <x:row r="199">
      <x:c r="A199" s="100" t="str">
        <x:v>CG-C02</x:v>
      </x:c>
      <x:c r="B199" s="95" t="str">
        <x:v>P4</x:v>
      </x:c>
      <x:c r="C199" s="95" t="str">
        <x:v>Comparison</x:v>
      </x:c>
      <x:c r="D199" s="95" t="str">
        <x:v>manual vs electric coffee grinder</x:v>
      </x:c>
      <x:c r="E199" s="95" t="str">
        <x:v>Manual vs Electric Coffee Grinder</x:v>
      </x:c>
      <x:c r="F199"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199" s="95" t="str">
        <x:v>Direct winner by use case; structured difference table; category-by-category winners; no forced single winner; concise decision summary.</x:v>
      </x:c>
      <x:c r="H199" s="95" t="str">
        <x:v>At-a-glance comparison; category winners; specifications</x:v>
      </x:c>
      <x:c r="I199" s="95" t="str">
        <x:v>Separate clearly labelled CTA for each product; do not bias without evidence</x:v>
      </x:c>
      <x:c r="J199" s="101" t="str">
        <x:v>Use 4–8 visible, non-repetitive questions. Answer each in 40–80 words. Add schema only when valid and useful.</x:v>
      </x:c>
    </x:row>
    <x:row r="200">
      <x:c r="A200" s="100" t="str">
        <x:v>CG-C03</x:v>
      </x:c>
      <x:c r="B200" s="95" t="str">
        <x:v>P4</x:v>
      </x:c>
      <x:c r="C200" s="95" t="str">
        <x:v>Comparison</x:v>
      </x:c>
      <x:c r="D200" s="95" t="str">
        <x:v>conical vs flat burr grinder</x:v>
      </x:c>
      <x:c r="E200" s="95" t="str">
        <x:v>Conical vs Flat Burr Grinder</x:v>
      </x:c>
      <x:c r="F200"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0" s="95" t="str">
        <x:v>Direct winner by use case; structured difference table; category-by-category winners; no forced single winner; concise decision summary.</x:v>
      </x:c>
      <x:c r="H200" s="95" t="str">
        <x:v>At-a-glance comparison; category winners; specifications</x:v>
      </x:c>
      <x:c r="I200" s="95" t="str">
        <x:v>Separate clearly labelled CTA for each product; do not bias without evidence</x:v>
      </x:c>
      <x:c r="J200" s="101" t="str">
        <x:v>Use 4–8 visible, non-repetitive questions. Answer each in 40–80 words. Add schema only when valid and useful.</x:v>
      </x:c>
    </x:row>
    <x:row r="201">
      <x:c r="A201" s="100" t="str">
        <x:v>FP-C04</x:v>
      </x:c>
      <x:c r="B201" s="95" t="str">
        <x:v>P4</x:v>
      </x:c>
      <x:c r="C201" s="95" t="str">
        <x:v>Comparison</x:v>
      </x:c>
      <x:c r="D201" s="95" t="str">
        <x:v>8 cup vs 14 cup food processor</x:v>
      </x:c>
      <x:c r="E201" s="95" t="str">
        <x:v>8-Cup vs 14-Cup Food Processor</x:v>
      </x:c>
      <x:c r="F201"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1" s="95" t="str">
        <x:v>Direct winner by use case; structured difference table; category-by-category winners; no forced single winner; concise decision summary.</x:v>
      </x:c>
      <x:c r="H201" s="95" t="str">
        <x:v>At-a-glance comparison; category winners; specifications</x:v>
      </x:c>
      <x:c r="I201" s="95" t="str">
        <x:v>Separate clearly labelled CTA for each product; do not bias without evidence</x:v>
      </x:c>
      <x:c r="J201" s="101" t="str">
        <x:v>Use 4–8 visible, non-repetitive questions. Answer each in 40–80 words. Add schema only when valid and useful.</x:v>
      </x:c>
    </x:row>
    <x:row r="202">
      <x:c r="A202" s="100" t="str">
        <x:v>MC-C02</x:v>
      </x:c>
      <x:c r="B202" s="95" t="str">
        <x:v>P4</x:v>
      </x:c>
      <x:c r="C202" s="95" t="str">
        <x:v>Comparison</x:v>
      </x:c>
      <x:c r="D202" s="95" t="str">
        <x:v>manual vs electric food chopper</x:v>
      </x:c>
      <x:c r="E202" s="95" t="str">
        <x:v>Manual vs Electric Food Chopper</x:v>
      </x:c>
      <x:c r="F202"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2" s="95" t="str">
        <x:v>Direct winner by use case; structured difference table; category-by-category winners; no forced single winner; concise decision summary.</x:v>
      </x:c>
      <x:c r="H202" s="95" t="str">
        <x:v>At-a-glance comparison; category winners; specifications</x:v>
      </x:c>
      <x:c r="I202" s="95" t="str">
        <x:v>Separate clearly labelled CTA for each product; do not bias without evidence</x:v>
      </x:c>
      <x:c r="J202" s="101" t="str">
        <x:v>Use 4–8 visible, non-repetitive questions. Answer each in 40–80 words. Add schema only when valid and useful.</x:v>
      </x:c>
    </x:row>
    <x:row r="203">
      <x:c r="A203" s="100" t="str">
        <x:v>RC-C02</x:v>
      </x:c>
      <x:c r="B203" s="95" t="str">
        <x:v>P4</x:v>
      </x:c>
      <x:c r="C203" s="95" t="str">
        <x:v>Comparison</x:v>
      </x:c>
      <x:c r="D203" s="95" t="str">
        <x:v>micom vs basic rice cooker</x:v>
      </x:c>
      <x:c r="E203" s="95" t="str">
        <x:v>Micom vs Basic Rice Cooker</x:v>
      </x:c>
      <x:c r="F203"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3" s="95" t="str">
        <x:v>Direct winner by use case; structured difference table; category-by-category winners; no forced single winner; concise decision summary.</x:v>
      </x:c>
      <x:c r="H203" s="95" t="str">
        <x:v>At-a-glance comparison; category winners; specifications</x:v>
      </x:c>
      <x:c r="I203" s="95" t="str">
        <x:v>Separate clearly labelled CTA for each product; do not bias without evidence</x:v>
      </x:c>
      <x:c r="J203" s="101" t="str">
        <x:v>Use 4–8 visible, non-repetitive questions. Answer each in 40–80 words. Add schema only when valid and useful.</x:v>
      </x:c>
    </x:row>
    <x:row r="204">
      <x:c r="A204" s="100" t="str">
        <x:v>RC-C03</x:v>
      </x:c>
      <x:c r="B204" s="95" t="str">
        <x:v>P4</x:v>
      </x:c>
      <x:c r="C204" s="95" t="str">
        <x:v>Comparison</x:v>
      </x:c>
      <x:c r="D204" s="95" t="str">
        <x:v>3 cup vs 5 cup rice cooker</x:v>
      </x:c>
      <x:c r="E204" s="95" t="str">
        <x:v>3-Cup vs 5-Cup Rice Cooker</x:v>
      </x:c>
      <x:c r="F204"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4" s="95" t="str">
        <x:v>Direct winner by use case; structured difference table; category-by-category winners; no forced single winner; concise decision summary.</x:v>
      </x:c>
      <x:c r="H204" s="95" t="str">
        <x:v>At-a-glance comparison; category winners; specifications</x:v>
      </x:c>
      <x:c r="I204" s="95" t="str">
        <x:v>Separate clearly labelled CTA for each product; do not bias without evidence</x:v>
      </x:c>
      <x:c r="J204" s="101" t="str">
        <x:v>Use 4–8 visible, non-repetitive questions. Answer each in 40–80 words. Add schema only when valid and useful.</x:v>
      </x:c>
    </x:row>
    <x:row r="205">
      <x:c r="A205" s="100" t="str">
        <x:v>WM-C01</x:v>
      </x:c>
      <x:c r="B205" s="95" t="str">
        <x:v>P4</x:v>
      </x:c>
      <x:c r="C205" s="95" t="str">
        <x:v>Comparison</x:v>
      </x:c>
      <x:c r="D205" s="95" t="str">
        <x:v>belgian vs classic waffle maker</x:v>
      </x:c>
      <x:c r="E205" s="95" t="str">
        <x:v>Belgian vs Classic Waffle Maker</x:v>
      </x:c>
      <x:c r="F205"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5" s="95" t="str">
        <x:v>Direct winner by use case; structured difference table; category-by-category winners; no forced single winner; concise decision summary.</x:v>
      </x:c>
      <x:c r="H205" s="95" t="str">
        <x:v>At-a-glance comparison; category winners; specifications</x:v>
      </x:c>
      <x:c r="I205" s="95" t="str">
        <x:v>Separate clearly labelled CTA for each product; do not bias without evidence</x:v>
      </x:c>
      <x:c r="J205" s="101" t="str">
        <x:v>Use 4–8 visible, non-repetitive questions. Answer each in 40–80 words. Add schema only when valid and useful.</x:v>
      </x:c>
    </x:row>
    <x:row r="206">
      <x:c r="A206" s="100" t="str">
        <x:v>WM-C02</x:v>
      </x:c>
      <x:c r="B206" s="95" t="str">
        <x:v>P4</x:v>
      </x:c>
      <x:c r="C206" s="95" t="str">
        <x:v>Comparison</x:v>
      </x:c>
      <x:c r="D206" s="95" t="str">
        <x:v>flip vs standard waffle maker</x:v>
      </x:c>
      <x:c r="E206" s="95" t="str">
        <x:v>Flip vs Standard Waffle Maker</x:v>
      </x:c>
      <x:c r="F206" s="95" t="str">
        <x:v>Quick verdict | Side-by-side comparison table | Key differences | Design and capacity | Performance comparison | Ease of use and cleaning | Noise, power and footprint | Price and value | Choose option A if | Choose option B if | Best alternatives | Frequently asked questions</x:v>
      </x:c>
      <x:c r="G206" s="95" t="str">
        <x:v>Direct winner by use case; structured difference table; category-by-category winners; no forced single winner; concise decision summary.</x:v>
      </x:c>
      <x:c r="H206" s="95" t="str">
        <x:v>At-a-glance comparison; category winners; specifications</x:v>
      </x:c>
      <x:c r="I206" s="95" t="str">
        <x:v>Separate clearly labelled CTA for each product; do not bias without evidence</x:v>
      </x:c>
      <x:c r="J206" s="101" t="str">
        <x:v>Use 4–8 visible, non-repetitive questions. Answer each in 40–80 words. Add schema only when valid and useful.</x:v>
      </x:c>
    </x:row>
    <x:row r="207">
      <x:c r="A207" s="100" t="str">
        <x:v>CG-V01</x:v>
      </x:c>
      <x:c r="B207" s="95" t="str">
        <x:v>P4</x:v>
      </x:c>
      <x:c r="C207" s="95" t="str">
        <x:v>Single Review</x:v>
      </x:c>
      <x:c r="D207" s="95" t="str">
        <x:v>baratza encore esp review</x:v>
      </x:c>
      <x:c r="E207" s="95" t="str">
        <x:v>Baratza Encore ESP Review</x:v>
      </x:c>
      <x:c r="F207"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07" s="95" t="str">
        <x:v>One-paragraph verdict; scorecard with measurable criteria; evidence notes; pros/cons; alternatives; buy-if/skip-if; dated review update.</x:v>
      </x:c>
      <x:c r="H207" s="95" t="str">
        <x:v>Specs; scorecard; pros/cons; alternatives comparison</x:v>
      </x:c>
      <x:c r="I207" s="95" t="str">
        <x:v>Primary product CTA after verdict and value section; alternatives each get separate CTA</x:v>
      </x:c>
      <x:c r="J207" s="101" t="str">
        <x:v>Use 4–8 visible, non-repetitive questions. Answer each in 40–80 words. Add schema only when valid and useful.</x:v>
      </x:c>
    </x:row>
    <x:row r="208">
      <x:c r="A208" s="100" t="str">
        <x:v>CG-V02</x:v>
      </x:c>
      <x:c r="B208" s="95" t="str">
        <x:v>P4</x:v>
      </x:c>
      <x:c r="C208" s="95" t="str">
        <x:v>Single Review</x:v>
      </x:c>
      <x:c r="D208" s="95" t="str">
        <x:v>oxo brew conical burr grinder review</x:v>
      </x:c>
      <x:c r="E208" s="95" t="str">
        <x:v>OXO Brew Conical Burr Grinder Review</x:v>
      </x:c>
      <x:c r="F208"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08" s="95" t="str">
        <x:v>One-paragraph verdict; scorecard with measurable criteria; evidence notes; pros/cons; alternatives; buy-if/skip-if; dated review update.</x:v>
      </x:c>
      <x:c r="H208" s="95" t="str">
        <x:v>Specs; scorecard; pros/cons; alternatives comparison</x:v>
      </x:c>
      <x:c r="I208" s="95" t="str">
        <x:v>Primary product CTA after verdict and value section; alternatives each get separate CTA</x:v>
      </x:c>
      <x:c r="J208" s="101" t="str">
        <x:v>Use 4–8 visible, non-repetitive questions. Answer each in 40–80 words. Add schema only when valid and useful.</x:v>
      </x:c>
    </x:row>
    <x:row r="209">
      <x:c r="A209" s="100" t="str">
        <x:v>CG-V03</x:v>
      </x:c>
      <x:c r="B209" s="95" t="str">
        <x:v>P4</x:v>
      </x:c>
      <x:c r="C209" s="95" t="str">
        <x:v>Single Review</x:v>
      </x:c>
      <x:c r="D209" s="95" t="str">
        <x:v>fellow ode gen 2 review</x:v>
      </x:c>
      <x:c r="E209" s="95" t="str">
        <x:v>Fellow Ode Gen 2 Review</x:v>
      </x:c>
      <x:c r="F209"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09" s="95" t="str">
        <x:v>One-paragraph verdict; scorecard with measurable criteria; evidence notes; pros/cons; alternatives; buy-if/skip-if; dated review update.</x:v>
      </x:c>
      <x:c r="H209" s="95" t="str">
        <x:v>Specs; scorecard; pros/cons; alternatives comparison</x:v>
      </x:c>
      <x:c r="I209" s="95" t="str">
        <x:v>Primary product CTA after verdict and value section; alternatives each get separate CTA</x:v>
      </x:c>
      <x:c r="J209" s="101" t="str">
        <x:v>Use 4–8 visible, non-repetitive questions. Answer each in 40–80 words. Add schema only when valid and useful.</x:v>
      </x:c>
    </x:row>
    <x:row r="210">
      <x:c r="A210" s="100" t="str">
        <x:v>FP-V02</x:v>
      </x:c>
      <x:c r="B210" s="95" t="str">
        <x:v>P4</x:v>
      </x:c>
      <x:c r="C210" s="95" t="str">
        <x:v>Single Review</x:v>
      </x:c>
      <x:c r="D210" s="95" t="str">
        <x:v>kitchenaid 9 cup food processor review</x:v>
      </x:c>
      <x:c r="E210" s="95" t="str">
        <x:v>KitchenAid 9-Cup Food Processor Review</x:v>
      </x:c>
      <x:c r="F210"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0" s="95" t="str">
        <x:v>One-paragraph verdict; scorecard with measurable criteria; evidence notes; pros/cons; alternatives; buy-if/skip-if; dated review update.</x:v>
      </x:c>
      <x:c r="H210" s="95" t="str">
        <x:v>Specs; scorecard; pros/cons; alternatives comparison</x:v>
      </x:c>
      <x:c r="I210" s="95" t="str">
        <x:v>Primary product CTA after verdict and value section; alternatives each get separate CTA</x:v>
      </x:c>
      <x:c r="J210" s="101" t="str">
        <x:v>Use 4–8 visible, non-repetitive questions. Answer each in 40–80 words. Add schema only when valid and useful.</x:v>
      </x:c>
    </x:row>
    <x:row r="211">
      <x:c r="A211" s="100" t="str">
        <x:v>FP-V03</x:v>
      </x:c>
      <x:c r="B211" s="95" t="str">
        <x:v>P4</x:v>
      </x:c>
      <x:c r="C211" s="95" t="str">
        <x:v>Single Review</x:v>
      </x:c>
      <x:c r="D211" s="95" t="str">
        <x:v>ninja professional food processor review</x:v>
      </x:c>
      <x:c r="E211" s="95" t="str">
        <x:v>Ninja Professional Food Processor Review</x:v>
      </x:c>
      <x:c r="F211"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1" s="95" t="str">
        <x:v>One-paragraph verdict; scorecard with measurable criteria; evidence notes; pros/cons; alternatives; buy-if/skip-if; dated review update.</x:v>
      </x:c>
      <x:c r="H211" s="95" t="str">
        <x:v>Specs; scorecard; pros/cons; alternatives comparison</x:v>
      </x:c>
      <x:c r="I211" s="95" t="str">
        <x:v>Primary product CTA after verdict and value section; alternatives each get separate CTA</x:v>
      </x:c>
      <x:c r="J211" s="101" t="str">
        <x:v>Use 4–8 visible, non-repetitive questions. Answer each in 40–80 words. Add schema only when valid and useful.</x:v>
      </x:c>
    </x:row>
    <x:row r="212">
      <x:c r="A212" s="100" t="str">
        <x:v>MC-V01</x:v>
      </x:c>
      <x:c r="B212" s="95" t="str">
        <x:v>P4</x:v>
      </x:c>
      <x:c r="C212" s="95" t="str">
        <x:v>Single Review</x:v>
      </x:c>
      <x:c r="D212" s="95" t="str">
        <x:v>kitchenaid 3.5 cup food chopper review</x:v>
      </x:c>
      <x:c r="E212" s="95" t="str">
        <x:v>KitchenAid 3.5-Cup Food Chopper Review</x:v>
      </x:c>
      <x:c r="F212"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2" s="95" t="str">
        <x:v>One-paragraph verdict; scorecard with measurable criteria; evidence notes; pros/cons; alternatives; buy-if/skip-if; dated review update.</x:v>
      </x:c>
      <x:c r="H212" s="95" t="str">
        <x:v>Specs; scorecard; pros/cons; alternatives comparison</x:v>
      </x:c>
      <x:c r="I212" s="95" t="str">
        <x:v>Primary product CTA after verdict and value section; alternatives each get separate CTA</x:v>
      </x:c>
      <x:c r="J212" s="101" t="str">
        <x:v>Use 4–8 visible, non-repetitive questions. Answer each in 40–80 words. Add schema only when valid and useful.</x:v>
      </x:c>
    </x:row>
    <x:row r="213">
      <x:c r="A213" s="100" t="str">
        <x:v>MC-V02</x:v>
      </x:c>
      <x:c r="B213" s="95" t="str">
        <x:v>P4</x:v>
      </x:c>
      <x:c r="C213" s="95" t="str">
        <x:v>Single Review</x:v>
      </x:c>
      <x:c r="D213" s="95" t="str">
        <x:v>cuisinart mini prep review</x:v>
      </x:c>
      <x:c r="E213" s="95" t="str">
        <x:v>Cuisinart Mini-Prep Review</x:v>
      </x:c>
      <x:c r="F213"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3" s="95" t="str">
        <x:v>One-paragraph verdict; scorecard with measurable criteria; evidence notes; pros/cons; alternatives; buy-if/skip-if; dated review update.</x:v>
      </x:c>
      <x:c r="H213" s="95" t="str">
        <x:v>Specs; scorecard; pros/cons; alternatives comparison</x:v>
      </x:c>
      <x:c r="I213" s="95" t="str">
        <x:v>Primary product CTA after verdict and value section; alternatives each get separate CTA</x:v>
      </x:c>
      <x:c r="J213" s="101" t="str">
        <x:v>Use 4–8 visible, non-repetitive questions. Answer each in 40–80 words. Add schema only when valid and useful.</x:v>
      </x:c>
    </x:row>
    <x:row r="214">
      <x:c r="A214" s="100" t="str">
        <x:v>RC-V01</x:v>
      </x:c>
      <x:c r="B214" s="95" t="str">
        <x:v>P4</x:v>
      </x:c>
      <x:c r="C214" s="95" t="str">
        <x:v>Single Review</x:v>
      </x:c>
      <x:c r="D214" s="95" t="str">
        <x:v>zojirushi neuro fuzzy review</x:v>
      </x:c>
      <x:c r="E214" s="95" t="str">
        <x:v>Zojirushi Neuro Fuzzy Rice Cooker Review</x:v>
      </x:c>
      <x:c r="F214"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4" s="95" t="str">
        <x:v>One-paragraph verdict; scorecard with measurable criteria; evidence notes; pros/cons; alternatives; buy-if/skip-if; dated review update.</x:v>
      </x:c>
      <x:c r="H214" s="95" t="str">
        <x:v>Specs; scorecard; pros/cons; alternatives comparison</x:v>
      </x:c>
      <x:c r="I214" s="95" t="str">
        <x:v>Primary product CTA after verdict and value section; alternatives each get separate CTA</x:v>
      </x:c>
      <x:c r="J214" s="101" t="str">
        <x:v>Use 4–8 visible, non-repetitive questions. Answer each in 40–80 words. Add schema only when valid and useful.</x:v>
      </x:c>
    </x:row>
    <x:row r="215">
      <x:c r="A215" s="100" t="str">
        <x:v>RC-V02</x:v>
      </x:c>
      <x:c r="B215" s="95" t="str">
        <x:v>P4</x:v>
      </x:c>
      <x:c r="C215" s="95" t="str">
        <x:v>Single Review</x:v>
      </x:c>
      <x:c r="D215" s="95" t="str">
        <x:v>aroma rice cooker review</x:v>
      </x:c>
      <x:c r="E215" s="95" t="str">
        <x:v>Aroma Rice Cooker Review</x:v>
      </x:c>
      <x:c r="F215"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5" s="95" t="str">
        <x:v>One-paragraph verdict; scorecard with measurable criteria; evidence notes; pros/cons; alternatives; buy-if/skip-if; dated review update.</x:v>
      </x:c>
      <x:c r="H215" s="95" t="str">
        <x:v>Specs; scorecard; pros/cons; alternatives comparison</x:v>
      </x:c>
      <x:c r="I215" s="95" t="str">
        <x:v>Primary product CTA after verdict and value section; alternatives each get separate CTA</x:v>
      </x:c>
      <x:c r="J215" s="101" t="str">
        <x:v>Use 4–8 visible, non-repetitive questions. Answer each in 40–80 words. Add schema only when valid and useful.</x:v>
      </x:c>
    </x:row>
    <x:row r="216">
      <x:c r="A216" s="100" t="str">
        <x:v>WM-V01</x:v>
      </x:c>
      <x:c r="B216" s="95" t="str">
        <x:v>P4</x:v>
      </x:c>
      <x:c r="C216" s="95" t="str">
        <x:v>Single Review</x:v>
      </x:c>
      <x:c r="D216" s="95" t="str">
        <x:v>cuisinart double belgian waffle maker review</x:v>
      </x:c>
      <x:c r="E216" s="95" t="str">
        <x:v>Cuisinart Double Belgian Waffle Maker Review</x:v>
      </x:c>
      <x:c r="F216"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6" s="95" t="str">
        <x:v>One-paragraph verdict; scorecard with measurable criteria; evidence notes; pros/cons; alternatives; buy-if/skip-if; dated review update.</x:v>
      </x:c>
      <x:c r="H216" s="95" t="str">
        <x:v>Specs; scorecard; pros/cons; alternatives comparison</x:v>
      </x:c>
      <x:c r="I216" s="95" t="str">
        <x:v>Primary product CTA after verdict and value section; alternatives each get separate CTA</x:v>
      </x:c>
      <x:c r="J216" s="101" t="str">
        <x:v>Use 4–8 visible, non-repetitive questions. Answer each in 40–80 words. Add schema only when valid and useful.</x:v>
      </x:c>
    </x:row>
    <x:row r="217">
      <x:c r="A217" s="100" t="str">
        <x:v>WM-V02</x:v>
      </x:c>
      <x:c r="B217" s="95" t="str">
        <x:v>P4</x:v>
      </x:c>
      <x:c r="C217" s="95" t="str">
        <x:v>Single Review</x:v>
      </x:c>
      <x:c r="D217" s="95" t="str">
        <x:v>dash mini waffle maker review</x:v>
      </x:c>
      <x:c r="E217" s="95" t="str">
        <x:v>Dash Mini Waffle Maker Review</x:v>
      </x:c>
      <x:c r="F217" s="95" t="str">
        <x:v>Quick verdict | Product specifications | Who this product is best for | Design and build quality | Performance by key task | Ease of use and cleaning | Noise, power and countertop footprint | Pros and cons | Value for money | Best alternatives | Final recommendation | Frequently asked questions</x:v>
      </x:c>
      <x:c r="G217" s="95" t="str">
        <x:v>One-paragraph verdict; scorecard with measurable criteria; evidence notes; pros/cons; alternatives; buy-if/skip-if; dated review update.</x:v>
      </x:c>
      <x:c r="H217" s="95" t="str">
        <x:v>Specs; scorecard; pros/cons; alternatives comparison</x:v>
      </x:c>
      <x:c r="I217" s="95" t="str">
        <x:v>Primary product CTA after verdict and value section; alternatives each get separate CTA</x:v>
      </x:c>
      <x:c r="J217" s="101" t="str">
        <x:v>Use 4–8 visible, non-repetitive questions. Answer each in 40–80 words. Add schema only when valid and useful.</x:v>
      </x:c>
    </x:row>
    <x:row r="218">
      <x:c r="A218" s="100" t="str">
        <x:v>WM-G01</x:v>
      </x:c>
      <x:c r="B218" s="95" t="str">
        <x:v>P4</x:v>
      </x:c>
      <x:c r="C218" s="95" t="str">
        <x:v>Buying Guide</x:v>
      </x:c>
      <x:c r="D218" s="95" t="str">
        <x:v>waffle maker buying guide</x:v>
      </x:c>
      <x:c r="E218" s="95" t="str">
        <x:v>Waffle Maker Buying Guide</x:v>
      </x:c>
      <x:c r="F218" s="95" t="str">
        <x:v>Quick buying recommendation | Choose the right size or capacity | Power and performance requirements | Important features | Materials, safety and cleaning | Countertop space and storage | Budget tiers and value | Decision tree by user type | Common buying mistakes | Recommended products | Frequently asked questions</x:v>
      </x:c>
      <x:c r="G218" s="95" t="str">
        <x:v>Definition and direct recommendation; criteria table; ranges and thresholds; decision tree; mistakes; links to commercial pages; concise FAQs.</x:v>
      </x:c>
      <x:c r="H218" s="95" t="str">
        <x:v>Feature thresholds; size/capacity chart; decision tree</x:v>
      </x:c>
      <x:c r="I218" s="95" t="str">
        <x:v>Contextual links to 2–4 relevant roundups/reviews</x:v>
      </x:c>
      <x:c r="J218" s="101" t="str">
        <x:v>Use 4–8 visible, non-repetitive questions. Answer each in 40–80 words. Add schema only when valid and useful.</x:v>
      </x:c>
    </x:row>
    <x:row r="219">
      <x:c r="A219" s="100" t="str">
        <x:v>CG-G04</x:v>
      </x:c>
      <x:c r="B219" s="95" t="str">
        <x:v>P4</x:v>
      </x:c>
      <x:c r="C219" s="95" t="str">
        <x:v>Informational</x:v>
      </x:c>
      <x:c r="D219" s="95" t="str">
        <x:v>how long do coffee grinders last</x:v>
      </x:c>
      <x:c r="E219" s="95" t="str">
        <x:v>How Long Do Coffee Grinders Last?</x:v>
      </x:c>
      <x:c r="F219" s="95" t="str">
        <x:v>Direct answer | Why this happens or why it matters | Key factors that change the answer | Practical examples | What to do next | Important limitations and safety notes | Related product recommendations | Frequently asked questions</x:v>
      </x:c>
      <x:c r="G219" s="95" t="str">
        <x:v>40–60 word direct answer; definitions; conditions/exceptions; practical table; next-step recommendation; concise FAQs.</x:v>
      </x:c>
      <x:c r="H219" s="95" t="str">
        <x:v>Answer/condition table or troubleshooting table where useful</x:v>
      </x:c>
      <x:c r="I219" s="95" t="str">
        <x:v>Only contextual affiliate links when genuinely helpful</x:v>
      </x:c>
      <x:c r="J219" s="101" t="str">
        <x:v>Use 4–8 visible, non-repetitive questions. Answer each in 40–80 words. Add schema only when valid and useful.</x:v>
      </x:c>
    </x:row>
    <x:row r="220">
      <x:c r="A220" s="100" t="str">
        <x:v>FP-G06</x:v>
      </x:c>
      <x:c r="B220" s="95" t="str">
        <x:v>P4</x:v>
      </x:c>
      <x:c r="C220" s="95" t="str">
        <x:v>Informational</x:v>
      </x:c>
      <x:c r="D220" s="95" t="str">
        <x:v>how long do food processors last</x:v>
      </x:c>
      <x:c r="E220" s="95" t="str">
        <x:v>How Long Do Food Processors Last?</x:v>
      </x:c>
      <x:c r="F220" s="95" t="str">
        <x:v>Direct answer | Why this happens or why it matters | Key factors that change the answer | Practical examples | What to do next | Important limitations and safety notes | Related product recommendations | Frequently asked questions</x:v>
      </x:c>
      <x:c r="G220" s="95" t="str">
        <x:v>40–60 word direct answer; definitions; conditions/exceptions; practical table; next-step recommendation; concise FAQs.</x:v>
      </x:c>
      <x:c r="H220" s="95" t="str">
        <x:v>Answer/condition table or troubleshooting table where useful</x:v>
      </x:c>
      <x:c r="I220" s="95" t="str">
        <x:v>Only contextual affiliate links when genuinely helpful</x:v>
      </x:c>
      <x:c r="J220" s="101" t="str">
        <x:v>Use 4–8 visible, non-repetitive questions. Answer each in 40–80 words. Add schema only when valid and useful.</x:v>
      </x:c>
    </x:row>
    <x:row r="221">
      <x:c r="A221" s="100" t="str">
        <x:v>MC-G02</x:v>
      </x:c>
      <x:c r="B221" s="95" t="str">
        <x:v>P4</x:v>
      </x:c>
      <x:c r="C221" s="95" t="str">
        <x:v>Informational</x:v>
      </x:c>
      <x:c r="D221" s="95" t="str">
        <x:v>what can you make in a mini chopper</x:v>
      </x:c>
      <x:c r="E221" s="95" t="str">
        <x:v>What Can You Make in a Mini Chopper?</x:v>
      </x:c>
      <x:c r="F221" s="95" t="str">
        <x:v>Direct answer | Why this happens or why it matters | Key factors that change the answer | Practical examples | What to do next | Important limitations and safety notes | Related product recommendations | Frequently asked questions</x:v>
      </x:c>
      <x:c r="G221" s="95" t="str">
        <x:v>40–60 word direct answer; definitions; conditions/exceptions; practical table; next-step recommendation; concise FAQs.</x:v>
      </x:c>
      <x:c r="H221" s="95" t="str">
        <x:v>Answer/condition table or troubleshooting table where useful</x:v>
      </x:c>
      <x:c r="I221" s="95" t="str">
        <x:v>Only contextual affiliate links when genuinely helpful</x:v>
      </x:c>
      <x:c r="J221" s="101" t="str">
        <x:v>Use 4–8 visible, non-repetitive questions. Answer each in 40–80 words. Add schema only when valid and useful.</x:v>
      </x:c>
    </x:row>
    <x:row r="222">
      <x:c r="A222" s="100" t="str">
        <x:v>RC-G04</x:v>
      </x:c>
      <x:c r="B222" s="95" t="str">
        <x:v>P4</x:v>
      </x:c>
      <x:c r="C222" s="95" t="str">
        <x:v>Informational</x:v>
      </x:c>
      <x:c r="D222" s="95" t="str">
        <x:v>how long do rice cookers last</x:v>
      </x:c>
      <x:c r="E222" s="95" t="str">
        <x:v>How Long Do Rice Cookers Last?</x:v>
      </x:c>
      <x:c r="F222" s="95" t="str">
        <x:v>Direct answer | Why this happens or why it matters | Key factors that change the answer | Practical examples | What to do next | Important limitations and safety notes | Related product recommendations | Frequently asked questions</x:v>
      </x:c>
      <x:c r="G222" s="95" t="str">
        <x:v>40–60 word direct answer; definitions; conditions/exceptions; practical table; next-step recommendation; concise FAQs.</x:v>
      </x:c>
      <x:c r="H222" s="95" t="str">
        <x:v>Answer/condition table or troubleshooting table where useful</x:v>
      </x:c>
      <x:c r="I222" s="95" t="str">
        <x:v>Only contextual affiliate links when genuinely helpful</x:v>
      </x:c>
      <x:c r="J222" s="101" t="str">
        <x:v>Use 4–8 visible, non-repetitive questions. Answer each in 40–80 words. Add schema only when valid and useful.</x:v>
      </x:c>
    </x:row>
    <x:row r="223">
      <x:c r="A223" s="100" t="str">
        <x:v>TO-G06</x:v>
      </x:c>
      <x:c r="B223" s="95" t="str">
        <x:v>P4</x:v>
      </x:c>
      <x:c r="C223" s="95" t="str">
        <x:v>Informational</x:v>
      </x:c>
      <x:c r="D223" s="95" t="str">
        <x:v>how long do toaster ovens last</x:v>
      </x:c>
      <x:c r="E223" s="95" t="str">
        <x:v>How Long Do Toaster Ovens Last?</x:v>
      </x:c>
      <x:c r="F223" s="95" t="str">
        <x:v>Direct answer | Why this happens or why it matters | Key factors that change the answer | Practical examples | What to do next | Important limitations and safety notes | Related product recommendations | Frequently asked questions</x:v>
      </x:c>
      <x:c r="G223" s="95" t="str">
        <x:v>40–60 word direct answer; definitions; conditions/exceptions; practical table; next-step recommendation; concise FAQs.</x:v>
      </x:c>
      <x:c r="H223" s="95" t="str">
        <x:v>Answer/condition table or troubleshooting table where useful</x:v>
      </x:c>
      <x:c r="I223" s="95" t="str">
        <x:v>Only contextual affiliate links when genuinely helpful</x:v>
      </x:c>
      <x:c r="J223" s="101" t="str">
        <x:v>Use 4–8 visible, non-repetitive questions. Answer each in 40–80 words. Add schema only when valid and useful.</x:v>
      </x:c>
    </x:row>
    <x:row r="224">
      <x:c r="A224" s="100" t="str">
        <x:v>WM-G03</x:v>
      </x:c>
      <x:c r="B224" s="95" t="str">
        <x:v>P4</x:v>
      </x:c>
      <x:c r="C224" s="95" t="str">
        <x:v>Informational</x:v>
      </x:c>
      <x:c r="D224" s="95" t="str">
        <x:v>how long do waffle makers last</x:v>
      </x:c>
      <x:c r="E224" s="95" t="str">
        <x:v>How Long Do Waffle Makers Last?</x:v>
      </x:c>
      <x:c r="F224" s="95" t="str">
        <x:v>Direct answer | Why this happens or why it matters | Key factors that change the answer | Practical examples | What to do next | Important limitations and safety notes | Related product recommendations | Frequently asked questions</x:v>
      </x:c>
      <x:c r="G224" s="95" t="str">
        <x:v>40–60 word direct answer; definitions; conditions/exceptions; practical table; next-step recommendation; concise FAQs.</x:v>
      </x:c>
      <x:c r="H224" s="95" t="str">
        <x:v>Answer/condition table or troubleshooting table where useful</x:v>
      </x:c>
      <x:c r="I224" s="95" t="str">
        <x:v>Only contextual affiliate links when genuinely helpful</x:v>
      </x:c>
      <x:c r="J224" s="101" t="str">
        <x:v>Use 4–8 visible, non-repetitive questions. Answer each in 40–80 words. Add schema only when valid and useful.</x:v>
      </x:c>
    </x:row>
    <x:row r="225">
      <x:c r="A225" s="100" t="str">
        <x:v>CG-G03</x:v>
      </x:c>
      <x:c r="B225" s="95" t="str">
        <x:v>P4</x:v>
      </x:c>
      <x:c r="C225" s="95" t="str">
        <x:v>How-To</x:v>
      </x:c>
      <x:c r="D225" s="95" t="str">
        <x:v>how to clean a burr grinder</x:v>
      </x:c>
      <x:c r="E225" s="95" t="str">
        <x:v>How to Clean a Burr Grinder</x:v>
      </x:c>
      <x:c r="F225" s="95" t="str">
        <x:v>Quick answer | What you need | Step-by-step instructions | What to avoid | Troubleshooting common problems | Safety and manufacturer guidance | When replacement or service is better | Frequently asked questions</x:v>
      </x:c>
      <x:c r="G225" s="95" t="str">
        <x:v>Numbered steps; short answer at top; safety caveats; troubleshooting table; outcome checks; concise FAQs.</x:v>
      </x:c>
      <x:c r="H225" s="95" t="str">
        <x:v>Answer/condition table or troubleshooting table where useful</x:v>
      </x:c>
      <x:c r="I225" s="95" t="str">
        <x:v>Only contextual affiliate links when genuinely helpful</x:v>
      </x:c>
      <x:c r="J225" s="101" t="str">
        <x:v>Use 4–8 visible, non-repetitive questions. Answer each in 40–80 words. Add schema only when valid and useful.</x:v>
      </x:c>
    </x:row>
    <x:row r="226">
      <x:c r="A226" s="100" t="str">
        <x:v>FP-G04</x:v>
      </x:c>
      <x:c r="B226" s="95" t="str">
        <x:v>P4</x:v>
      </x:c>
      <x:c r="C226" s="95" t="str">
        <x:v>How-To</x:v>
      </x:c>
      <x:c r="D226" s="95" t="str">
        <x:v>how to clean a food processor</x:v>
      </x:c>
      <x:c r="E226" s="95" t="str">
        <x:v>How to Clean a Food Processor</x:v>
      </x:c>
      <x:c r="F226" s="95" t="str">
        <x:v>Quick answer | What you need | Step-by-step instructions | What to avoid | Troubleshooting common problems | Safety and manufacturer guidance | When replacement or service is better | Frequently asked questions</x:v>
      </x:c>
      <x:c r="G226" s="95" t="str">
        <x:v>Numbered steps; short answer at top; safety caveats; troubleshooting table; outcome checks; concise FAQs.</x:v>
      </x:c>
      <x:c r="H226" s="95" t="str">
        <x:v>Answer/condition table or troubleshooting table where useful</x:v>
      </x:c>
      <x:c r="I226" s="95" t="str">
        <x:v>Only contextual affiliate links when genuinely helpful</x:v>
      </x:c>
      <x:c r="J226" s="101" t="str">
        <x:v>Use 4–8 visible, non-repetitive questions. Answer each in 40–80 words. Add schema only when valid and useful.</x:v>
      </x:c>
    </x:row>
    <x:row r="227">
      <x:c r="A227" s="100" t="str">
        <x:v>MC-G03</x:v>
      </x:c>
      <x:c r="B227" s="95" t="str">
        <x:v>P4</x:v>
      </x:c>
      <x:c r="C227" s="95" t="str">
        <x:v>How-To</x:v>
      </x:c>
      <x:c r="D227" s="95" t="str">
        <x:v>how to clean a mini chopper</x:v>
      </x:c>
      <x:c r="E227" s="95" t="str">
        <x:v>How to Clean a Mini Chopper</x:v>
      </x:c>
      <x:c r="F227" s="95" t="str">
        <x:v>Quick answer | What you need | Step-by-step instructions | What to avoid | Troubleshooting common problems | Safety and manufacturer guidance | When replacement or service is better | Frequently asked questions</x:v>
      </x:c>
      <x:c r="G227" s="95" t="str">
        <x:v>Numbered steps; short answer at top; safety caveats; troubleshooting table; outcome checks; concise FAQs.</x:v>
      </x:c>
      <x:c r="H227" s="95" t="str">
        <x:v>Answer/condition table or troubleshooting table where useful</x:v>
      </x:c>
      <x:c r="I227" s="95" t="str">
        <x:v>Only contextual affiliate links when genuinely helpful</x:v>
      </x:c>
      <x:c r="J227" s="101" t="str">
        <x:v>Use 4–8 visible, non-repetitive questions. Answer each in 40–80 words. Add schema only when valid and useful.</x:v>
      </x:c>
    </x:row>
    <x:row r="228">
      <x:c r="A228" s="100" t="str">
        <x:v>RC-G03</x:v>
      </x:c>
      <x:c r="B228" s="95" t="str">
        <x:v>P4</x:v>
      </x:c>
      <x:c r="C228" s="95" t="str">
        <x:v>How-To</x:v>
      </x:c>
      <x:c r="D228" s="95" t="str">
        <x:v>how to clean a rice cooker</x:v>
      </x:c>
      <x:c r="E228" s="95" t="str">
        <x:v>How to Clean a Rice Cooker</x:v>
      </x:c>
      <x:c r="F228" s="95" t="str">
        <x:v>Quick answer | What you need | Step-by-step instructions | What to avoid | Troubleshooting common problems | Safety and manufacturer guidance | When replacement or service is better | Frequently asked questions</x:v>
      </x:c>
      <x:c r="G228" s="95" t="str">
        <x:v>Numbered steps; short answer at top; safety caveats; troubleshooting table; outcome checks; concise FAQs.</x:v>
      </x:c>
      <x:c r="H228" s="95" t="str">
        <x:v>Answer/condition table or troubleshooting table where useful</x:v>
      </x:c>
      <x:c r="I228" s="95" t="str">
        <x:v>Only contextual affiliate links when genuinely helpful</x:v>
      </x:c>
      <x:c r="J228" s="101" t="str">
        <x:v>Use 4–8 visible, non-repetitive questions. Answer each in 40–80 words. Add schema only when valid and useful.</x:v>
      </x:c>
    </x:row>
    <x:row r="229">
      <x:c r="A229" s="102" t="str">
        <x:v>WM-G02</x:v>
      </x:c>
      <x:c r="B229" s="103" t="str">
        <x:v>P4</x:v>
      </x:c>
      <x:c r="C229" s="103" t="str">
        <x:v>How-To</x:v>
      </x:c>
      <x:c r="D229" s="103" t="str">
        <x:v>how to clean a waffle maker</x:v>
      </x:c>
      <x:c r="E229" s="103" t="str">
        <x:v>How to Clean a Waffle Maker</x:v>
      </x:c>
      <x:c r="F229" s="103" t="str">
        <x:v>Quick answer | What you need | Step-by-step instructions | What to avoid | Troubleshooting common problems | Safety and manufacturer guidance | When replacement or service is better | Frequently asked questions</x:v>
      </x:c>
      <x:c r="G229" s="103" t="str">
        <x:v>Numbered steps; short answer at top; safety caveats; troubleshooting table; outcome checks; concise FAQs.</x:v>
      </x:c>
      <x:c r="H229" s="103" t="str">
        <x:v>Answer/condition table or troubleshooting table where useful</x:v>
      </x:c>
      <x:c r="I229" s="103" t="str">
        <x:v>Only contextual affiliate links when genuinely helpful</x:v>
      </x:c>
      <x:c r="J229" s="104" t="str">
        <x:v>Use 4–8 visible, non-repetitive questions. Answer each in 40–80 words. Add schema only when valid and useful.</x:v>
      </x:c>
    </x:row>
  </x:sheetData>
  <x:dataValidations count="1">
    <x:dataValidation type="list" sqref="B2:B229">
      <x:formula1>"P0,P1,P2,P3,P4"</x:formula1>
    </x:dataValidation>
  </x:dataValidations>
  <x:pageMargins left="0.7" right="0.7" top="0.75" bottom="0.75" header="0.3" footer="0.3"/>
  <x:tableParts count="1">
    <x:tablePart xmlns:r="http://schemas.openxmlformats.org/officeDocument/2006/relationships" r:id="R661d193894004834"/>
  </x:tableParts>
</x:worksheet>
</file>

<file path=xl/worksheets/sheet8.xml><?xml version="1.0" encoding="utf-8"?>
<x:worksheet xmlns:x="http://schemas.openxmlformats.org/spreadsheetml/2006/main">
  <x:sheetFormatPr defaultRowHeight="15"/>
  <x:cols>
    <x:col min="1" max="1" width="20" hidden="0" customWidth="1"/>
    <x:col min="2" max="2" width="95" hidden="0" customWidth="1"/>
    <x:col min="3" max="3" width="48" hidden="0" customWidth="1"/>
    <x:col min="4" max="4" width="58" hidden="0" customWidth="1"/>
    <x:col min="5" max="5" width="52" hidden="0" customWidth="1"/>
    <x:col min="6" max="6" width="58" hidden="0" customWidth="1"/>
    <x:col min="7" max="7" width="48" hidden="0" customWidth="1"/>
    <x:col min="8" max="8" width="42" hidden="0" customWidth="1"/>
  </x:cols>
  <x:sheetData>
    <x:row r="1" ht="36" customHeight="1">
      <x:c r="A1" s="81" t="str">
        <x:v>Page Type</x:v>
      </x:c>
      <x:c r="B1" s="81" t="str">
        <x:v>Section Order</x:v>
      </x:c>
      <x:c r="C1" s="81" t="str">
        <x:v>Above-the-Fold Requirements</x:v>
      </x:c>
      <x:c r="D1" s="81" t="str">
        <x:v>Evidence / Originality</x:v>
      </x:c>
      <x:c r="E1" s="81" t="str">
        <x:v>SEO Requirements</x:v>
      </x:c>
      <x:c r="F1" s="81" t="str">
        <x:v>LLM / AI Search Requirements</x:v>
      </x:c>
      <x:c r="G1" s="81" t="str">
        <x:v>Monetization Rules</x:v>
      </x:c>
      <x:c r="H1" s="81" t="str">
        <x:v>Recommended Schema</x:v>
      </x:c>
    </x:row>
    <x:row r="2">
      <x:c r="A2" s="97" t="str">
        <x:v>Category Hub</x:v>
      </x:c>
      <x:c r="B2" s="98" t="str">
        <x:v>Breadcrumb → H1 → 50-word category answer → browse-by-use-case cards → top picks → reviews → comparisons → guides → methodology → FAQs</x:v>
      </x:c>
      <x:c r="C2" s="98" t="str">
        <x:v>Clear category purpose; links to strongest pages; no empty archive look</x:v>
      </x:c>
      <x:c r="D2" s="98" t="str">
        <x:v>Explain how the category is evaluated; show editor/author and update date</x:v>
      </x:c>
      <x:c r="E2" s="98" t="str">
        <x:v>Unique title/meta; self-canonical; internal-link hierarchy; descriptive image alt text</x:v>
      </x:c>
      <x:c r="F2" s="98" t="str">
        <x:v>Entity-rich summary, category definitions, structured navigation, concise answers</x:v>
      </x:c>
      <x:c r="G2" s="98" t="str">
        <x:v>Prioritize internal navigation; limited direct affiliate CTAs</x:v>
      </x:c>
      <x:c r="H2" s="99" t="str">
        <x:v>CollectionPage + ItemList + BreadcrumbList</x:v>
      </x:c>
    </x:row>
    <x:row r="3">
      <x:c r="A3" s="100" t="str">
        <x:v>Commercial Pillar</x:v>
      </x:c>
      <x:c r="B3" s="95" t="str">
        <x:v>Disclosure → Breadcrumb → H1 → quick verdict → top 3 → comparison table → methodology → detailed picks → buying guide → alternatives → FAQs</x:v>
      </x:c>
      <x:c r="C3" s="95" t="str">
        <x:v>Top picks visible without scrolling excessively; clear best overall/value/premium labels</x:v>
      </x:c>
      <x:c r="D3" s="95" t="str">
        <x:v>Original selection logic; explain testing/research method; measurable criteria and trade-offs</x:v>
      </x:c>
      <x:c r="E3" s="95" t="str">
        <x:v>Primary keyword in title/H1/intro naturally; descriptive anchors; updated date</x:v>
      </x:c>
      <x:c r="F3" s="95" t="str">
        <x:v>Answer-first paragraph, decision matrix, named product entities, buy-if/skip-if blocks</x:v>
      </x:c>
      <x:c r="G3" s="95" t="str">
        <x:v>CTA after summary and each detailed verdict; no deceptive buttons</x:v>
      </x:c>
      <x:c r="H3" s="101" t="str">
        <x:v>Article + ItemList + BreadcrumbList</x:v>
      </x:c>
    </x:row>
    <x:row r="4">
      <x:c r="A4" s="100" t="str">
        <x:v>Roundup</x:v>
      </x:c>
      <x:c r="B4" s="95" t="str">
        <x:v>Disclosure → H1 → direct answer → quick picks → table → selection method → product sections → choosing guide → mistakes → FAQs</x:v>
      </x:c>
      <x:c r="C4" s="95" t="str">
        <x:v>User can understand top recommendation and alternatives immediately</x:v>
      </x:c>
      <x:c r="D4" s="95" t="str">
        <x:v>Each product section must say why it earned its position and who should skip it</x:v>
      </x:c>
      <x:c r="E4" s="95" t="str">
        <x:v>Avoid near-duplicate intros across roundups; target one dominant intent</x:v>
      </x:c>
      <x:c r="F4" s="95" t="str">
        <x:v>Tables use explicit labels and units; short verdicts can stand alone in citations</x:v>
      </x:c>
      <x:c r="G4" s="95" t="str">
        <x:v>Product-specific links; default to “Check price on Amazon”</x:v>
      </x:c>
      <x:c r="H4" s="101" t="str">
        <x:v>Article + ItemList + BreadcrumbList</x:v>
      </x:c>
    </x:row>
    <x:row r="5">
      <x:c r="A5" s="100" t="str">
        <x:v>Single Review</x:v>
      </x:c>
      <x:c r="B5" s="95" t="str">
        <x:v>Disclosure → H1 → quick verdict → rating/scorecard → specs → audience fit → performance → usability → pros/cons → value → alternatives → final verdict → FAQs</x:v>
      </x:c>
      <x:c r="C5" s="95" t="str">
        <x:v>Verdict, audience fit and disclosure visible early</x:v>
      </x:c>
      <x:c r="D5" s="95" t="str">
        <x:v>Hands-on evidence or explicit research-based disclosure; never claim ownership/testing falsely</x:v>
      </x:c>
      <x:c r="E5" s="95" t="str">
        <x:v>Model name consistency; current version/variant; internal links to comparison and pillar</x:v>
      </x:c>
      <x:c r="F5" s="95" t="str">
        <x:v>Compact verdict, fact table, measurable criteria, dated methodology</x:v>
      </x:c>
      <x:c r="G5" s="95" t="str">
        <x:v>Primary CTA plus 2–3 alternatives; do not reproduce Amazon review stars</x:v>
      </x:c>
      <x:c r="H5" s="101" t="str">
        <x:v>Product + Review + BreadcrumbList when eligible</x:v>
      </x:c>
    </x:row>
    <x:row r="6">
      <x:c r="A6" s="100" t="str">
        <x:v>Comparison</x:v>
      </x:c>
      <x:c r="B6" s="95" t="str">
        <x:v>Disclosure → H1 → winner summary → comparison table → key differences → category tests → value → choose A if → choose B if → alternatives → FAQs</x:v>
      </x:c>
      <x:c r="C6" s="95" t="str">
        <x:v>No vague “it depends” opening; state the winner by use case</x:v>
      </x:c>
      <x:c r="D6" s="95" t="str">
        <x:v>Verify both products and compare same-generation variants</x:v>
      </x:c>
      <x:c r="E6" s="95" t="str">
        <x:v>Use one canonical comparison URL; avoid reverse duplicate URL</x:v>
      </x:c>
      <x:c r="F6" s="95" t="str">
        <x:v>Winner matrix and explicit conditions improve extractability</x:v>
      </x:c>
      <x:c r="G6" s="95" t="str">
        <x:v>Equal, clearly labelled product CTAs</x:v>
      </x:c>
      <x:c r="H6" s="101" t="str">
        <x:v>Article + ItemList + BreadcrumbList</x:v>
      </x:c>
    </x:row>
    <x:row r="7">
      <x:c r="A7" s="100" t="str">
        <x:v>Buying Guide</x:v>
      </x:c>
      <x:c r="B7" s="95" t="str">
        <x:v>H1 → direct recommendation → capacity/size → power → features → materials/safety → space → budget → decision tree → mistakes → recommended pages → FAQs</x:v>
      </x:c>
      <x:c r="C7" s="95" t="str">
        <x:v>Give practical thresholds early</x:v>
      </x:c>
      <x:c r="D7" s="95" t="str">
        <x:v>Use manuals/primary sources when specifications or safety claims matter</x:v>
      </x:c>
      <x:c r="E7" s="95" t="str">
        <x:v>Build semantic coverage without stuffing; link to commercial cluster</x:v>
      </x:c>
      <x:c r="F7" s="95" t="str">
        <x:v>Definitions, thresholds, examples, decision tree and concise FAQs</x:v>
      </x:c>
      <x:c r="G7" s="95" t="str">
        <x:v>Contextual affiliate links only; guide must remain useful without links</x:v>
      </x:c>
      <x:c r="H7" s="101" t="str">
        <x:v>Article + BreadcrumbList</x:v>
      </x:c>
    </x:row>
    <x:row r="8">
      <x:c r="A8" s="100" t="str">
        <x:v>Informational</x:v>
      </x:c>
      <x:c r="B8" s="95" t="str">
        <x:v>H1 → 40–60 word direct answer → explanation → variables → examples → next steps → limitations/safety → related pages → FAQs</x:v>
      </x:c>
      <x:c r="C8" s="95" t="str">
        <x:v>Direct answer appears before background</x:v>
      </x:c>
      <x:c r="D8" s="95" t="str">
        <x:v>Add calculations, examples, primary-source references and original diagrams where useful</x:v>
      </x:c>
      <x:c r="E8" s="95" t="str">
        <x:v>Satisfy one question fully; avoid padding to arbitrary word count</x:v>
      </x:c>
      <x:c r="F8" s="95" t="str">
        <x:v>Answer blocks, conditions/exceptions, tables and clear entity naming</x:v>
      </x:c>
      <x:c r="G8" s="95" t="str">
        <x:v>Only add products when they solve the stated problem</x:v>
      </x:c>
      <x:c r="H8" s="101" t="str">
        <x:v>Article + BreadcrumbList</x:v>
      </x:c>
    </x:row>
    <x:row r="9">
      <x:c r="A9" s="102" t="str">
        <x:v>How-To</x:v>
      </x:c>
      <x:c r="B9" s="103" t="str">
        <x:v>H1 → quick answer → tools/materials → numbered steps → avoid → troubleshooting → safety → replacement/service trigger → FAQs</x:v>
      </x:c>
      <x:c r="C9" s="103" t="str">
        <x:v>Outcome and required materials are clear</x:v>
      </x:c>
      <x:c r="D9" s="103" t="str">
        <x:v>Use product manuals or authoritative instructions for safety-critical steps</x:v>
      </x:c>
      <x:c r="E9" s="103" t="str">
        <x:v>Use descriptive step headings and original images where possible</x:v>
      </x:c>
      <x:c r="F9" s="103" t="str">
        <x:v>Numbered procedural content and troubleshooting matrix</x:v>
      </x:c>
      <x:c r="G9" s="103" t="str">
        <x:v>Do not force affiliate links into every step</x:v>
      </x:c>
      <x:c r="H9" s="104" t="str">
        <x:v>HowTo only when currently eligible; otherwise Article + BreadcrumbList</x:v>
      </x:c>
    </x:row>
  </x:sheetData>
  <x:pageMargins left="0.7" right="0.7" top="0.75" bottom="0.75" header="0.3" footer="0.3"/>
  <x:tableParts count="1">
    <x:tablePart xmlns:r="http://schemas.openxmlformats.org/officeDocument/2006/relationships" r:id="R91d6f84f2fab4c31"/>
  </x:tableParts>
</x:worksheet>
</file>

<file path=xl/worksheets/sheet9.xml><?xml version="1.0" encoding="utf-8"?>
<x:worksheet xmlns:x="http://schemas.openxmlformats.org/spreadsheetml/2006/main">
  <x:sheetFormatPr defaultRowHeight="15"/>
  <x:cols>
    <x:col min="1" max="1" width="22" hidden="0" customWidth="1"/>
    <x:col min="2" max="2" width="23" hidden="0" customWidth="1"/>
    <x:col min="3" max="3" width="14" hidden="0" customWidth="1"/>
    <x:col min="4" max="4" width="42" hidden="0" customWidth="1"/>
    <x:col min="5" max="5" width="30" hidden="0" customWidth="1"/>
    <x:col min="6" max="6" width="50" hidden="0" customWidth="1"/>
    <x:col min="7" max="7" width="48" hidden="0" customWidth="1"/>
  </x:cols>
  <x:sheetData>
    <x:row r="1" ht="36" customHeight="1">
      <x:c r="A1" s="81" t="str">
        <x:v>Source Page Type</x:v>
      </x:c>
      <x:c r="B1" s="81" t="str">
        <x:v>Target Page Type</x:v>
      </x:c>
      <x:c r="C1" s="81" t="str">
        <x:v>Minimum Links</x:v>
      </x:c>
      <x:c r="D1" s="81" t="str">
        <x:v>Anchor Pattern</x:v>
      </x:c>
      <x:c r="E1" s="81" t="str">
        <x:v>Placement</x:v>
      </x:c>
      <x:c r="F1" s="81" t="str">
        <x:v>Rule</x:v>
      </x:c>
      <x:c r="G1" s="81" t="str">
        <x:v>Example</x:v>
      </x:c>
    </x:row>
    <x:row r="2">
      <x:c r="A2" s="97" t="str">
        <x:v>Homepage</x:v>
      </x:c>
      <x:c r="B2" s="98" t="str">
        <x:v>Category Hub</x:v>
      </x:c>
      <x:c r="C2" s="98" t="str">
        <x:v>5–8</x:v>
      </x:c>
      <x:c r="D2" s="98" t="str">
        <x:v>Air fryer reviews and guides; blender reviews and guides</x:v>
      </x:c>
      <x:c r="E2" s="98" t="str">
        <x:v>Main category grid</x:v>
      </x:c>
      <x:c r="F2" s="98" t="str">
        <x:v>Link only to launched, useful categories</x:v>
      </x:c>
      <x:c r="G2" s="99" t="str">
        <x:v>Explore our air fryer reviews and buying guides</x:v>
      </x:c>
    </x:row>
    <x:row r="3">
      <x:c r="A3" s="100" t="str">
        <x:v>Category Hub</x:v>
      </x:c>
      <x:c r="B3" s="95" t="str">
        <x:v>Commercial Pillar</x:v>
      </x:c>
      <x:c r="C3" s="95" t="str">
        <x:v>1</x:v>
      </x:c>
      <x:c r="D3" s="95" t="str">
        <x:v>Best [category]</x:v>
      </x:c>
      <x:c r="E3" s="95" t="str">
        <x:v>Above the fold</x:v>
      </x:c>
      <x:c r="F3" s="95" t="str">
        <x:v>Primary commercial page gets prominent link</x:v>
      </x:c>
      <x:c r="G3" s="101" t="str">
        <x:v>See the best air fryers</x:v>
      </x:c>
    </x:row>
    <x:row r="4">
      <x:c r="A4" s="100" t="str">
        <x:v>Category Hub</x:v>
      </x:c>
      <x:c r="B4" s="95" t="str">
        <x:v>Child pages</x:v>
      </x:c>
      <x:c r="C4" s="95" t="str">
        <x:v>8–20</x:v>
      </x:c>
      <x:c r="D4" s="95" t="str">
        <x:v>Descriptive exact-topic anchors</x:v>
      </x:c>
      <x:c r="E4" s="95" t="str">
        <x:v>Grouped cards/lists</x:v>
      </x:c>
      <x:c r="F4" s="95" t="str">
        <x:v>No generic “read more” anchors</x:v>
      </x:c>
      <x:c r="G4" s="101" t="str">
        <x:v>Best air fryer for two people</x:v>
      </x:c>
    </x:row>
    <x:row r="5">
      <x:c r="A5" s="100" t="str">
        <x:v>Commercial Pillar</x:v>
      </x:c>
      <x:c r="B5" s="95" t="str">
        <x:v>Roundups</x:v>
      </x:c>
      <x:c r="C5" s="95" t="str">
        <x:v>6–12</x:v>
      </x:c>
      <x:c r="D5" s="95" t="str">
        <x:v>Use-case anchors</x:v>
      </x:c>
      <x:c r="E5" s="95" t="str">
        <x:v>Within selection guide and recommendations</x:v>
      </x:c>
      <x:c r="F5" s="95" t="str">
        <x:v>Link to deeper intent pages</x:v>
      </x:c>
      <x:c r="G5" s="101" t="str">
        <x:v>Need a compact option? See our small-kitchen picks</x:v>
      </x:c>
    </x:row>
    <x:row r="6">
      <x:c r="A6" s="100" t="str">
        <x:v>Commercial Pillar</x:v>
      </x:c>
      <x:c r="B6" s="95" t="str">
        <x:v>Single Reviews</x:v>
      </x:c>
      <x:c r="C6" s="95" t="str">
        <x:v>3–6</x:v>
      </x:c>
      <x:c r="D6" s="95" t="str">
        <x:v>[Product] review</x:v>
      </x:c>
      <x:c r="E6" s="95" t="str">
        <x:v>Product sections</x:v>
      </x:c>
      <x:c r="F6" s="95" t="str">
        <x:v>Link only where full review exists</x:v>
      </x:c>
      <x:c r="G6" s="101" t="str">
        <x:v>Read our Ninja Air Fryer Pro review</x:v>
      </x:c>
    </x:row>
    <x:row r="7">
      <x:c r="A7" s="100" t="str">
        <x:v>Roundup</x:v>
      </x:c>
      <x:c r="B7" s="95" t="str">
        <x:v>Commercial Pillar</x:v>
      </x:c>
      <x:c r="C7" s="95" t="str">
        <x:v>1</x:v>
      </x:c>
      <x:c r="D7" s="95" t="str">
        <x:v>Best [category] overall</x:v>
      </x:c>
      <x:c r="E7" s="95" t="str">
        <x:v>Intro or buying guide</x:v>
      </x:c>
      <x:c r="F7" s="95" t="str">
        <x:v>Every roundup returns authority to pillar</x:v>
      </x:c>
      <x:c r="G7" s="101" t="str">
        <x:v>Compare our best air fryers overall</x:v>
      </x:c>
    </x:row>
    <x:row r="8">
      <x:c r="A8" s="100" t="str">
        <x:v>Roundup</x:v>
      </x:c>
      <x:c r="B8" s="95" t="str">
        <x:v>Buying Guide</x:v>
      </x:c>
      <x:c r="C8" s="95" t="str">
        <x:v>1–2</x:v>
      </x:c>
      <x:c r="D8" s="95" t="str">
        <x:v>How to choose / sizing guide</x:v>
      </x:c>
      <x:c r="E8" s="95" t="str">
        <x:v>Buying guide section</x:v>
      </x:c>
      <x:c r="F8" s="95" t="str">
        <x:v>Use relevant supporting guide</x:v>
      </x:c>
      <x:c r="G8" s="101" t="str">
        <x:v>Not sure about capacity? Use our air fryer size guide</x:v>
      </x:c>
    </x:row>
    <x:row r="9">
      <x:c r="A9" s="100" t="str">
        <x:v>Single Review</x:v>
      </x:c>
      <x:c r="B9" s="95" t="str">
        <x:v>Comparison</x:v>
      </x:c>
      <x:c r="C9" s="95" t="str">
        <x:v>1–2</x:v>
      </x:c>
      <x:c r="D9" s="95" t="str">
        <x:v>[Product A] vs [Product B]</x:v>
      </x:c>
      <x:c r="E9" s="95" t="str">
        <x:v>Alternatives section</x:v>
      </x:c>
      <x:c r="F9" s="95" t="str">
        <x:v>Connect direct competitive decisions</x:v>
      </x:c>
      <x:c r="G9" s="101" t="str">
        <x:v>See Ninja vs Cosori</x:v>
      </x:c>
    </x:row>
    <x:row r="10">
      <x:c r="A10" s="100" t="str">
        <x:v>Single Review</x:v>
      </x:c>
      <x:c r="B10" s="95" t="str">
        <x:v>Commercial Pillar</x:v>
      </x:c>
      <x:c r="C10" s="95" t="str">
        <x:v>1</x:v>
      </x:c>
      <x:c r="D10" s="95" t="str">
        <x:v>Best alternatives / best [category]</x:v>
      </x:c>
      <x:c r="E10" s="95" t="str">
        <x:v>Final verdict</x:v>
      </x:c>
      <x:c r="F10" s="95" t="str">
        <x:v>Return to broader choice</x:v>
      </x:c>
      <x:c r="G10" s="101" t="str">
        <x:v>Compare all recommended blenders</x:v>
      </x:c>
    </x:row>
    <x:row r="11">
      <x:c r="A11" s="100" t="str">
        <x:v>Comparison</x:v>
      </x:c>
      <x:c r="B11" s="95" t="str">
        <x:v>Both Reviews</x:v>
      </x:c>
      <x:c r="C11" s="95" t="str">
        <x:v>0–2 each</x:v>
      </x:c>
      <x:c r="D11" s="95" t="str">
        <x:v>Full [product] review</x:v>
      </x:c>
      <x:c r="E11" s="95" t="str">
        <x:v>Product detail sections</x:v>
      </x:c>
      <x:c r="F11" s="95" t="str">
        <x:v>Only when reviews add real detail</x:v>
      </x:c>
      <x:c r="G11" s="101" t="str">
        <x:v>Read the full Vitamix E310 review</x:v>
      </x:c>
    </x:row>
    <x:row r="12">
      <x:c r="A12" s="100" t="str">
        <x:v>Informational</x:v>
      </x:c>
      <x:c r="B12" s="95" t="str">
        <x:v>Commercial Page</x:v>
      </x:c>
      <x:c r="C12" s="95" t="str">
        <x:v>1–3</x:v>
      </x:c>
      <x:c r="D12" s="95" t="str">
        <x:v>Specific solution-oriented anchor</x:v>
      </x:c>
      <x:c r="E12" s="95" t="str">
        <x:v>After answer and in next steps</x:v>
      </x:c>
      <x:c r="F12" s="95" t="str">
        <x:v>Do not interrupt the direct answer with aggressive CTAs</x:v>
      </x:c>
      <x:c r="G12" s="101" t="str">
        <x:v>See quiet blender recommendations</x:v>
      </x:c>
    </x:row>
    <x:row r="13">
      <x:c r="A13" s="102" t="str">
        <x:v>Any Content</x:v>
      </x:c>
      <x:c r="B13" s="103" t="str">
        <x:v>Methodology</x:v>
      </x:c>
      <x:c r="C13" s="103" t="str">
        <x:v>1</x:v>
      </x:c>
      <x:c r="D13" s="103" t="str">
        <x:v>How we test / methodology</x:v>
      </x:c>
      <x:c r="E13" s="103" t="str">
        <x:v>Selection method or footer</x:v>
      </x:c>
      <x:c r="F13" s="103" t="str">
        <x:v>All recommendation content exposes method</x:v>
      </x:c>
      <x:c r="G13" s="104" t="str">
        <x:v>How CounterCrave evaluates kitchen appliances</x:v>
      </x:c>
    </x:row>
  </x:sheetData>
  <x:pageMargins left="0.7" right="0.7" top="0.75" bottom="0.75" header="0.3" footer="0.3"/>
  <x:tableParts count="1">
    <x:tablePart xmlns:r="http://schemas.openxmlformats.org/officeDocument/2006/relationships" r:id="Rdee26f2f0a05422a"/>
  </x:tableParts>
</x:worksheet>
</file>

<file path=xl/worksheets/sheet10.xml><?xml version="1.0" encoding="utf-8"?>
<x:worksheet xmlns:x="http://schemas.openxmlformats.org/spreadsheetml/2006/main">
  <x:sheetFormatPr defaultRowHeight="15"/>
  <x:cols>
    <x:col min="1" max="1" width="23" hidden="0" customWidth="1"/>
    <x:col min="2" max="2" width="9" hidden="0" customWidth="1"/>
    <x:col min="3" max="3" width="46" hidden="0" customWidth="1"/>
    <x:col min="4" max="4" width="62" hidden="0" customWidth="1"/>
    <x:col min="5" max="5" width="55" hidden="0" customWidth="1"/>
    <x:col min="6" max="6" width="22" hidden="0" customWidth="1"/>
    <x:col min="7" max="7" width="15" hidden="0" customWidth="1"/>
  </x:cols>
  <x:sheetData>
    <x:row r="1" ht="36" customHeight="1">
      <x:c r="A1" s="81" t="str">
        <x:v>Area</x:v>
      </x:c>
      <x:c r="B1" s="81" t="str">
        <x:v>Priority</x:v>
      </x:c>
      <x:c r="C1" s="81" t="str">
        <x:v>Requirement</x:v>
      </x:c>
      <x:c r="D1" s="81" t="str">
        <x:v>Implementation</x:v>
      </x:c>
      <x:c r="E1" s="81" t="str">
        <x:v>Acceptance Test</x:v>
      </x:c>
      <x:c r="F1" s="81" t="str">
        <x:v>Owner</x:v>
      </x:c>
      <x:c r="G1" s="81" t="str">
        <x:v>Status</x:v>
      </x:c>
    </x:row>
    <x:row r="2">
      <x:c r="A2" s="97" t="str">
        <x:v>People-first content</x:v>
      </x:c>
      <x:c r="B2" s="98" t="str">
        <x:v>P0</x:v>
      </x:c>
      <x:c r="C2" s="98" t="str">
        <x:v>Every page solves a real decision or question</x:v>
      </x:c>
      <x:c r="D2" s="98" t="str">
        <x:v>Use original analysis, clear trade-offs and evidence; remove generic filler</x:v>
      </x:c>
      <x:c r="E2" s="98" t="str">
        <x:v>Editor can identify unique value not present in top results</x:v>
      </x:c>
      <x:c r="F2" s="98" t="str">
        <x:v>Content/Editor</x:v>
      </x:c>
      <x:c r="G2" s="99" t="str">
        <x:v>Not Started</x:v>
      </x:c>
    </x:row>
    <x:row r="3">
      <x:c r="A3" s="100" t="str">
        <x:v>Review quality</x:v>
      </x:c>
      <x:c r="B3" s="95" t="str">
        <x:v>P0</x:v>
      </x:c>
      <x:c r="C3" s="95" t="str">
        <x:v>Recommendation pages show expertise and research depth</x:v>
      </x:c>
      <x:c r="D3" s="95" t="str">
        <x:v>Selection criteria, evidence, measurements, alternatives and negative findings</x:v>
      </x:c>
      <x:c r="E3" s="95" t="str">
        <x:v>No product is recommended only because it is popular</x:v>
      </x:c>
      <x:c r="F3" s="95" t="str">
        <x:v>Editor</x:v>
      </x:c>
      <x:c r="G3" s="101" t="str">
        <x:v>Not Started</x:v>
      </x:c>
    </x:row>
    <x:row r="4">
      <x:c r="A4" s="100" t="str">
        <x:v>Answer-first</x:v>
      </x:c>
      <x:c r="B4" s="95" t="str">
        <x:v>P1</x:v>
      </x:c>
      <x:c r="C4" s="95" t="str">
        <x:v>Direct answer or verdict in first 100–150 words</x:v>
      </x:c>
      <x:c r="D4" s="95" t="str">
        <x:v>Use a 40–60 word summary block below H1/disclosure</x:v>
      </x:c>
      <x:c r="E4" s="95" t="str">
        <x:v>Summary accurately answers intent without needing the full page</x:v>
      </x:c>
      <x:c r="F4" s="95" t="str">
        <x:v>Content</x:v>
      </x:c>
      <x:c r="G4" s="101" t="str">
        <x:v>Not Started</x:v>
      </x:c>
    </x:row>
    <x:row r="5">
      <x:c r="A5" s="100" t="str">
        <x:v>Entity clarity</x:v>
      </x:c>
      <x:c r="B5" s="95" t="str">
        <x:v>P1</x:v>
      </x:c>
      <x:c r="C5" s="95" t="str">
        <x:v>Use full product/model names consistently</x:v>
      </x:c>
      <x:c r="D5" s="95" t="str">
        <x:v>Define model, variant, capacity and generation in specs</x:v>
      </x:c>
      <x:c r="E5" s="95" t="str">
        <x:v>No ambiguous “this model” references in extractable blocks</x:v>
      </x:c>
      <x:c r="F5" s="95" t="str">
        <x:v>Content</x:v>
      </x:c>
      <x:c r="G5" s="101" t="str">
        <x:v>Not Started</x:v>
      </x:c>
    </x:row>
    <x:row r="6">
      <x:c r="A6" s="100" t="str">
        <x:v>Tables</x:v>
      </x:c>
      <x:c r="B6" s="95" t="str">
        <x:v>P1</x:v>
      </x:c>
      <x:c r="C6" s="95" t="str">
        <x:v>Decision tables use text labels, units and accessible markup</x:v>
      </x:c>
      <x:c r="D6" s="95" t="str">
        <x:v>Native HTML table with caption and mobile wrapper</x:v>
      </x:c>
      <x:c r="E6" s="95" t="str">
        <x:v>Keyboard and mobile users can read table; headers are marked correctly</x:v>
      </x:c>
      <x:c r="F6" s="95" t="str">
        <x:v>Developer</x:v>
      </x:c>
      <x:c r="G6" s="101" t="str">
        <x:v>Not Started</x:v>
      </x:c>
    </x:row>
    <x:row r="7">
      <x:c r="A7" s="100" t="str">
        <x:v>Headings</x:v>
      </x:c>
      <x:c r="B7" s="95" t="str">
        <x:v>P1</x:v>
      </x:c>
      <x:c r="C7" s="95" t="str">
        <x:v>One H1 and logical H2/H3 hierarchy</x:v>
      </x:c>
      <x:c r="D7" s="95" t="str">
        <x:v>No heading level used only for visual styling</x:v>
      </x:c>
      <x:c r="E7" s="95" t="str">
        <x:v>Automated audit finds one H1 and no skipped hierarchy</x:v>
      </x:c>
      <x:c r="F7" s="95" t="str">
        <x:v>Developer/Editor</x:v>
      </x:c>
      <x:c r="G7" s="101" t="str">
        <x:v>Not Started</x:v>
      </x:c>
    </x:row>
    <x:row r="8">
      <x:c r="A8" s="100" t="str">
        <x:v>Metadata</x:v>
      </x:c>
      <x:c r="B8" s="95" t="str">
        <x:v>P0</x:v>
      </x:c>
      <x:c r="C8" s="95" t="str">
        <x:v>Unique title, description, canonical and OG metadata</x:v>
      </x:c>
      <x:c r="D8" s="95" t="str">
        <x:v>Typed frontmatter + generateMetadata</x:v>
      </x:c>
      <x:c r="E8" s="95" t="str">
        <x:v>No duplicate titles/canonicals across public URLs</x:v>
      </x:c>
      <x:c r="F8" s="95" t="str">
        <x:v>Developer/SEO</x:v>
      </x:c>
      <x:c r="G8" s="101" t="str">
        <x:v>Not Started</x:v>
      </x:c>
    </x:row>
    <x:row r="9">
      <x:c r="A9" s="100" t="str">
        <x:v>URLs</x:v>
      </x:c>
      <x:c r="B9" s="95" t="str">
        <x:v>P0</x:v>
      </x:c>
      <x:c r="C9" s="95" t="str">
        <x:v>Short, descriptive, lowercase hyphenated URLs</x:v>
      </x:c>
      <x:c r="D9" s="95" t="str">
        <x:v>Use permanent slug field; never auto-change after publish</x:v>
      </x:c>
      <x:c r="E9" s="95" t="str">
        <x:v>No parameters or duplicate trailing-slash variants for core content</x:v>
      </x:c>
      <x:c r="F9" s="95" t="str">
        <x:v>Developer</x:v>
      </x:c>
      <x:c r="G9" s="101" t="str">
        <x:v>Not Started</x:v>
      </x:c>
    </x:row>
    <x:row r="10">
      <x:c r="A10" s="100" t="str">
        <x:v>Indexing</x:v>
      </x:c>
      <x:c r="B10" s="95" t="str">
        <x:v>P0</x:v>
      </x:c>
      <x:c r="C10" s="95" t="str">
        <x:v>Production pages are server-rendered and crawlable</x:v>
      </x:c>
      <x:c r="D10" s="95" t="str">
        <x:v>Static generation/ISR, sitemap and correct robots</x:v>
      </x:c>
      <x:c r="E10" s="95" t="str">
        <x:v>Google URL Inspection can render meaningful content</x:v>
      </x:c>
      <x:c r="F10" s="95" t="str">
        <x:v>Developer</x:v>
      </x:c>
      <x:c r="G10" s="101" t="str">
        <x:v>Not Started</x:v>
      </x:c>
    </x:row>
    <x:row r="11">
      <x:c r="A11" s="100" t="str">
        <x:v>Structured data</x:v>
      </x:c>
      <x:c r="B11" s="95" t="str">
        <x:v>P1</x:v>
      </x:c>
      <x:c r="C11" s="95" t="str">
        <x:v>Markup matches visible page content</x:v>
      </x:c>
      <x:c r="D11" s="95" t="str">
        <x:v>Generate JSON-LD from validated content data</x:v>
      </x:c>
      <x:c r="E11" s="95" t="str">
        <x:v>Rich Results Test has no critical errors; no misleading review data</x:v>
      </x:c>
      <x:c r="F11" s="95" t="str">
        <x:v>Developer/SEO</x:v>
      </x:c>
      <x:c r="G11" s="101" t="str">
        <x:v>Not Started</x:v>
      </x:c>
    </x:row>
    <x:row r="12">
      <x:c r="A12" s="100" t="str">
        <x:v>Internal links</x:v>
      </x:c>
      <x:c r="B12" s="95" t="str">
        <x:v>P1</x:v>
      </x:c>
      <x:c r="C12" s="95" t="str">
        <x:v>Every page has parent and sibling links</x:v>
      </x:c>
      <x:c r="D12" s="95" t="str">
        <x:v>Generate related-links section from content relationships</x:v>
      </x:c>
      <x:c r="E12" s="95" t="str">
        <x:v>No orphan URLs in sitemap</x:v>
      </x:c>
      <x:c r="F12" s="95" t="str">
        <x:v>SEO/Developer</x:v>
      </x:c>
      <x:c r="G12" s="101" t="str">
        <x:v>Not Started</x:v>
      </x:c>
    </x:row>
    <x:row r="13">
      <x:c r="A13" s="100" t="str">
        <x:v>Images</x:v>
      </x:c>
      <x:c r="B13" s="95" t="str">
        <x:v>P1</x:v>
      </x:c>
      <x:c r="C13" s="95" t="str">
        <x:v>Original or licensed images with descriptive alt text</x:v>
      </x:c>
      <x:c r="D13" s="95" t="str">
        <x:v>next/image, dimensions, WebP/AVIF, captions when useful</x:v>
      </x:c>
      <x:c r="E13" s="95" t="str">
        <x:v>No layout shift; image supports the decision</x:v>
      </x:c>
      <x:c r="F13" s="95" t="str">
        <x:v>Designer/Developer</x:v>
      </x:c>
      <x:c r="G13" s="101" t="str">
        <x:v>Not Started</x:v>
      </x:c>
    </x:row>
    <x:row r="14">
      <x:c r="A14" s="100" t="str">
        <x:v>Author/trust</x:v>
      </x:c>
      <x:c r="B14" s="95" t="str">
        <x:v>P0</x:v>
      </x:c>
      <x:c r="C14" s="95" t="str">
        <x:v>Real author, reviewer and update information</x:v>
      </x:c>
      <x:c r="D14" s="95" t="str">
        <x:v>Author pages, bios, correction path and methodology links</x:v>
      </x:c>
      <x:c r="E14" s="95" t="str">
        <x:v>Every recommendation page shows accountable author/reviewer</x:v>
      </x:c>
      <x:c r="F14" s="95" t="str">
        <x:v>Editor</x:v>
      </x:c>
      <x:c r="G14" s="101" t="str">
        <x:v>Not Started</x:v>
      </x:c>
    </x:row>
    <x:row r="15">
      <x:c r="A15" s="100" t="str">
        <x:v>Citations</x:v>
      </x:c>
      <x:c r="B15" s="95" t="str">
        <x:v>P2</x:v>
      </x:c>
      <x:c r="C15" s="95" t="str">
        <x:v>Factual/safety claims use reliable sources</x:v>
      </x:c>
      <x:c r="D15" s="95" t="str">
        <x:v>Source notes in content frontmatter or references section</x:v>
      </x:c>
      <x:c r="E15" s="95" t="str">
        <x:v>Claims can be traced to manuals/primary sources</x:v>
      </x:c>
      <x:c r="F15" s="95" t="str">
        <x:v>Content</x:v>
      </x:c>
      <x:c r="G15" s="101" t="str">
        <x:v>Not Started</x:v>
      </x:c>
    </x:row>
    <x:row r="16">
      <x:c r="A16" s="100" t="str">
        <x:v>AI content governance</x:v>
      </x:c>
      <x:c r="B16" s="95" t="str">
        <x:v>P0</x:v>
      </x:c>
      <x:c r="C16" s="95" t="str">
        <x:v>AI may assist, but human accountability and original value are mandatory</x:v>
      </x:c>
      <x:c r="D16" s="95" t="str">
        <x:v>Fact-check, rewrite, compare against sources, add unique analysis</x:v>
      </x:c>
      <x:c r="E16" s="95" t="str">
        <x:v>No fabricated use, quotes, tests or citations</x:v>
      </x:c>
      <x:c r="F16" s="95" t="str">
        <x:v>Editor</x:v>
      </x:c>
      <x:c r="G16" s="101" t="str">
        <x:v>Not Started</x:v>
      </x:c>
    </x:row>
    <x:row r="17">
      <x:c r="A17" s="100" t="str">
        <x:v>LLM extraction</x:v>
      </x:c>
      <x:c r="B17" s="95" t="str">
        <x:v>P1</x:v>
      </x:c>
      <x:c r="C17" s="95" t="str">
        <x:v>Important facts are in clean HTML, not only images/widgets</x:v>
      </x:c>
      <x:c r="D17" s="95" t="str">
        <x:v>Server-render answer blocks, tables and lists</x:v>
      </x:c>
      <x:c r="E17" s="95" t="str">
        <x:v>View-source contains core content and links</x:v>
      </x:c>
      <x:c r="F17" s="95" t="str">
        <x:v>Developer</x:v>
      </x:c>
      <x:c r="G17" s="101" t="str">
        <x:v>Not Started</x:v>
      </x:c>
    </x:row>
    <x:row r="18">
      <x:c r="A18" s="100" t="str">
        <x:v>Generative search</x:v>
      </x:c>
      <x:c r="B18" s="95" t="str">
        <x:v>P2</x:v>
      </x:c>
      <x:c r="C18" s="95" t="str">
        <x:v>Use standard SEO, strong visuals and multimodal context</x:v>
      </x:c>
      <x:c r="D18" s="95" t="str">
        <x:v>Original images, descriptive captions, video where useful</x:v>
      </x:c>
      <x:c r="E18" s="95" t="str">
        <x:v>Pages remain useful for normal search and AI features</x:v>
      </x:c>
      <x:c r="F18" s="95" t="str">
        <x:v>SEO/Content</x:v>
      </x:c>
      <x:c r="G18" s="101" t="str">
        <x:v>Not Started</x:v>
      </x:c>
    </x:row>
    <x:row r="19">
      <x:c r="A19" s="100" t="str">
        <x:v>llms.txt</x:v>
      </x:c>
      <x:c r="B19" s="95" t="str">
        <x:v>P4</x:v>
      </x:c>
      <x:c r="C19" s="95" t="str">
        <x:v>Optional curated map only</x:v>
      </x:c>
      <x:c r="D19" s="95" t="str">
        <x:v>Route lists brand, methodology and top hubs in Markdown</x:v>
      </x:c>
      <x:c r="E19" s="95" t="str">
        <x:v>File is accurate and small; no claim of ranking benefit</x:v>
      </x:c>
      <x:c r="F19" s="95" t="str">
        <x:v>Developer</x:v>
      </x:c>
      <x:c r="G19" s="101" t="str">
        <x:v>Not Started</x:v>
      </x:c>
    </x:row>
    <x:row r="20">
      <x:c r="A20" s="100" t="str">
        <x:v>Performance</x:v>
      </x:c>
      <x:c r="B20" s="95" t="str">
        <x:v>P0</x:v>
      </x:c>
      <x:c r="C20" s="95" t="str">
        <x:v>Meet strong Core Web Vitals targets</x:v>
      </x:c>
      <x:c r="D20" s="95" t="str">
        <x:v>Minimize client JS, optimize fonts/images, cache static content</x:v>
      </x:c>
      <x:c r="E20" s="95" t="str">
        <x:v>LCP, INP and CLS monitored in field data</x:v>
      </x:c>
      <x:c r="F20" s="95" t="str">
        <x:v>Developer</x:v>
      </x:c>
      <x:c r="G20" s="101" t="str">
        <x:v>Not Started</x:v>
      </x:c>
    </x:row>
    <x:row r="21">
      <x:c r="A21" s="102" t="str">
        <x:v>Accessibility</x:v>
      </x:c>
      <x:c r="B21" s="103" t="str">
        <x:v>P0</x:v>
      </x:c>
      <x:c r="C21" s="103" t="str">
        <x:v>Semantic, keyboard-friendly, readable UI</x:v>
      </x:c>
      <x:c r="D21" s="103" t="str">
        <x:v>Contrast, focus states, labels, skip link, reduced motion</x:v>
      </x:c>
      <x:c r="E21" s="103" t="str">
        <x:v>Lighthouse/manual checks pass</x:v>
      </x:c>
      <x:c r="F21" s="103" t="str">
        <x:v>Developer/Designer</x:v>
      </x:c>
      <x:c r="G21" s="104" t="str">
        <x:v>Not Started</x:v>
      </x:c>
    </x:row>
  </x:sheetData>
  <x:conditionalFormatting sqref="G2:G21">
    <x:cfRule type="expression" dxfId="16" priority="1">
      <x:formula>$G2="Published"</x:formula>
    </x:cfRule>
    <x:cfRule type="expression" dxfId="17" priority="2">
      <x:formula>$G2="Writing"</x:formula>
    </x:cfRule>
    <x:cfRule type="expression" dxfId="18" priority="3">
      <x:formula>$G2="Editing"</x:formula>
    </x:cfRule>
    <x:cfRule type="expression" dxfId="19" priority="4">
      <x:formula>$G2="Blocked"</x:formula>
    </x:cfRule>
  </x:conditionalFormatting>
  <x:dataValidations count="2">
    <x:dataValidation type="list" sqref="B2:B21">
      <x:formula1>"P0,P1,P2,P3,P4"</x:formula1>
    </x:dataValidation>
    <x:dataValidation type="list" sqref="G2:G21">
      <x:formula1>"Not Started,Brief Ready,Writing,Editing,Published,Refreshing,Blocked"</x:formula1>
    </x:dataValidation>
  </x:dataValidations>
  <x:pageMargins left="0.7" right="0.7" top="0.75" bottom="0.75" header="0.3" footer="0.3"/>
  <x:tableParts count="1">
    <x:tablePart xmlns:r="http://schemas.openxmlformats.org/officeDocument/2006/relationships" r:id="Rc49e57a4b80c4a12"/>
  </x:tableParts>
</x:worksheet>
</file>

<file path=xl/worksheets/sheet11.xml><?xml version="1.0" encoding="utf-8"?>
<x:worksheet xmlns:x="http://schemas.openxmlformats.org/spreadsheetml/2006/main">
  <x:sheetFormatPr defaultRowHeight="15"/>
  <x:cols>
    <x:col min="1" max="1" width="24" hidden="0" customWidth="1"/>
    <x:col min="2" max="2" width="9" hidden="0" customWidth="1"/>
    <x:col min="3" max="3" width="28" hidden="0" customWidth="1"/>
    <x:col min="4" max="4" width="40" hidden="0" customWidth="1"/>
    <x:col min="5" max="5" width="38" hidden="0" customWidth="1"/>
    <x:col min="6" max="6" width="44" hidden="0" customWidth="1"/>
    <x:col min="7" max="7" width="44" hidden="0" customWidth="1"/>
    <x:col min="8" max="8" width="55" hidden="0" customWidth="1"/>
  </x:cols>
  <x:sheetData>
    <x:row r="1" ht="36" customHeight="1">
      <x:c r="A1" s="81" t="str">
        <x:v>Component</x:v>
      </x:c>
      <x:c r="B1" s="81" t="str">
        <x:v>Priority</x:v>
      </x:c>
      <x:c r="C1" s="81" t="str">
        <x:v>Used On</x:v>
      </x:c>
      <x:c r="D1" s="81" t="str">
        <x:v>Desktop Behaviour</x:v>
      </x:c>
      <x:c r="E1" s="81" t="str">
        <x:v>Mobile Behaviour</x:v>
      </x:c>
      <x:c r="F1" s="81" t="str">
        <x:v>SEO/Accessibility</x:v>
      </x:c>
      <x:c r="G1" s="81" t="str">
        <x:v>Conversion Rule</x:v>
      </x:c>
      <x:c r="H1" s="81" t="str">
        <x:v>Cursor Acceptance Criteria</x:v>
      </x:c>
    </x:row>
    <x:row r="2">
      <x:c r="A2" s="97" t="str">
        <x:v>Global header</x:v>
      </x:c>
      <x:c r="B2" s="98" t="str">
        <x:v>P0</x:v>
      </x:c>
      <x:c r="C2" s="98" t="str">
        <x:v>All pages</x:v>
      </x:c>
      <x:c r="D2" s="98" t="str">
        <x:v>Logo, 5–7 category links, search, About</x:v>
      </x:c>
      <x:c r="E2" s="98" t="str">
        <x:v>Compact logo, menu drawer, visible search</x:v>
      </x:c>
      <x:c r="F2" s="98" t="str">
        <x:v>Semantic nav, keyboard/focus support</x:v>
      </x:c>
      <x:c r="G2" s="98" t="str">
        <x:v>No distracting affiliate CTA in global nav</x:v>
      </x:c>
      <x:c r="H2" s="99" t="str">
        <x:v>No layout shift; menu usable without JavaScript failure</x:v>
      </x:c>
    </x:row>
    <x:row r="3">
      <x:c r="A3" s="100" t="str">
        <x:v>Breadcrumbs</x:v>
      </x:c>
      <x:c r="B3" s="95" t="str">
        <x:v>P0</x:v>
      </x:c>
      <x:c r="C3" s="95" t="str">
        <x:v>All content pages</x:v>
      </x:c>
      <x:c r="D3" s="95" t="str">
        <x:v>Single line</x:v>
      </x:c>
      <x:c r="E3" s="95" t="str">
        <x:v>Horizontally scroll/wrap safely</x:v>
      </x:c>
      <x:c r="F3" s="95" t="str">
        <x:v>BreadcrumbList schema and accessible nav label</x:v>
      </x:c>
      <x:c r="G3" s="95" t="str">
        <x:v>No affiliate links</x:v>
      </x:c>
      <x:c r="H3" s="101" t="str">
        <x:v>Matches canonical hierarchy</x:v>
      </x:c>
    </x:row>
    <x:row r="4">
      <x:c r="A4" s="100" t="str">
        <x:v>Disclosure bar</x:v>
      </x:c>
      <x:c r="B4" s="95" t="str">
        <x:v>P0</x:v>
      </x:c>
      <x:c r="C4" s="95" t="str">
        <x:v>Money/review pages</x:v>
      </x:c>
      <x:c r="D4" s="95" t="str">
        <x:v>Compact line above first affiliate link</x:v>
      </x:c>
      <x:c r="E4" s="95" t="str">
        <x:v>Visible without covering content</x:v>
      </x:c>
      <x:c r="F4" s="95" t="str">
        <x:v>Plain readable text, not hidden</x:v>
      </x:c>
      <x:c r="G4" s="95" t="str">
        <x:v>Must appear before/near affiliate CTAs</x:v>
      </x:c>
      <x:c r="H4" s="101" t="str">
        <x:v>Reusable component; text editable globally</x:v>
      </x:c>
    </x:row>
    <x:row r="5">
      <x:c r="A5" s="100" t="str">
        <x:v>Answer summary</x:v>
      </x:c>
      <x:c r="B5" s="95" t="str">
        <x:v>P1</x:v>
      </x:c>
      <x:c r="C5" s="95" t="str">
        <x:v>All content</x:v>
      </x:c>
      <x:c r="D5" s="95" t="str">
        <x:v>Highlighted 40–60 word summary</x:v>
      </x:c>
      <x:c r="E5" s="95" t="str">
        <x:v>Full-width card</x:v>
      </x:c>
      <x:c r="F5" s="95" t="str">
        <x:v>Server-rendered text; correct heading/label</x:v>
      </x:c>
      <x:c r="G5" s="95" t="str">
        <x:v>May include one contextual internal link, not a CTA wall</x:v>
      </x:c>
      <x:c r="H5" s="101" t="str">
        <x:v>No accordion; visible in HTML</x:v>
      </x:c>
    </x:row>
    <x:row r="6">
      <x:c r="A6" s="100" t="str">
        <x:v>Top picks cards</x:v>
      </x:c>
      <x:c r="B6" s="95" t="str">
        <x:v>P1</x:v>
      </x:c>
      <x:c r="C6" s="95" t="str">
        <x:v>Pillar/roundup</x:v>
      </x:c>
      <x:c r="D6" s="95" t="str">
        <x:v>Three-column cards</x:v>
      </x:c>
      <x:c r="E6" s="95" t="str">
        <x:v>Stacked cards</x:v>
      </x:c>
      <x:c r="F6" s="95" t="str">
        <x:v>Text labels, image dimensions, descriptive alt</x:v>
      </x:c>
      <x:c r="G6" s="95" t="str">
        <x:v>Best overall/value/premium; honest qualifiers</x:v>
      </x:c>
      <x:c r="H6" s="101" t="str">
        <x:v>Equal-height cards; no CLS</x:v>
      </x:c>
    </x:row>
    <x:row r="7">
      <x:c r="A7" s="100" t="str">
        <x:v>Comparison table</x:v>
      </x:c>
      <x:c r="B7" s="95" t="str">
        <x:v>P1</x:v>
      </x:c>
      <x:c r="C7" s="95" t="str">
        <x:v>Roundup/comparison</x:v>
      </x:c>
      <x:c r="D7" s="95" t="str">
        <x:v>Sticky first column optional</x:v>
      </x:c>
      <x:c r="E7" s="95" t="str">
        <x:v>Scrollable wrapper or card transformation</x:v>
      </x:c>
      <x:c r="F7" s="95" t="str">
        <x:v>Native table semantics; caption; scope headers</x:v>
      </x:c>
      <x:c r="G7" s="95" t="str">
        <x:v>CTA cells clearly labelled</x:v>
      </x:c>
      <x:c r="H7" s="101" t="str">
        <x:v>Readable at 320px width; no clipped text</x:v>
      </x:c>
    </x:row>
    <x:row r="8">
      <x:c r="A8" s="100" t="str">
        <x:v>Product verdict card</x:v>
      </x:c>
      <x:c r="B8" s="95" t="str">
        <x:v>P1</x:v>
      </x:c>
      <x:c r="C8" s="95" t="str">
        <x:v>Roundup/review</x:v>
      </x:c>
      <x:c r="D8" s="95" t="str">
        <x:v>Image, verdict, pros/cons, CTA</x:v>
      </x:c>
      <x:c r="E8" s="95" t="str">
        <x:v>Stacked with CTA after verdict</x:v>
      </x:c>
      <x:c r="F8" s="95" t="str">
        <x:v>Heading, list semantics, no fake rating</x:v>
      </x:c>
      <x:c r="G8" s="95" t="str">
        <x:v>One primary CTA; alternatives separate</x:v>
      </x:c>
      <x:c r="H8" s="101" t="str">
        <x:v>Data-driven component from frontmatter/content data</x:v>
      </x:c>
    </x:row>
    <x:row r="9">
      <x:c r="A9" s="100" t="str">
        <x:v>Review scorecard</x:v>
      </x:c>
      <x:c r="B9" s="95" t="str">
        <x:v>P2</x:v>
      </x:c>
      <x:c r="C9" s="95" t="str">
        <x:v>Single review</x:v>
      </x:c>
      <x:c r="D9" s="95" t="str">
        <x:v>Horizontal metrics</x:v>
      </x:c>
      <x:c r="E9" s="95" t="str">
        <x:v>Stacked metrics</x:v>
      </x:c>
      <x:c r="F9" s="95" t="str">
        <x:v>Explain scoring scale</x:v>
      </x:c>
      <x:c r="G9" s="95" t="str">
        <x:v>Scores reflect evidence, not decorative stars</x:v>
      </x:c>
      <x:c r="H9" s="101" t="str">
        <x:v>Supports N/A and evidence notes</x:v>
      </x:c>
    </x:row>
    <x:row r="10">
      <x:c r="A10" s="100" t="str">
        <x:v>Buy if / Skip if</x:v>
      </x:c>
      <x:c r="B10" s="95" t="str">
        <x:v>P1</x:v>
      </x:c>
      <x:c r="C10" s="95" t="str">
        <x:v>Money pages</x:v>
      </x:c>
      <x:c r="D10" s="95" t="str">
        <x:v>Two-column</x:v>
      </x:c>
      <x:c r="E10" s="95" t="str">
        <x:v>Stacked</x:v>
      </x:c>
      <x:c r="F10" s="95" t="str">
        <x:v>Clear list headings</x:v>
      </x:c>
      <x:c r="G10" s="95" t="str">
        <x:v>Reduces poor-fit clicks and increases trust</x:v>
      </x:c>
      <x:c r="H10" s="101" t="str">
        <x:v>Reusable component</x:v>
      </x:c>
    </x:row>
    <x:row r="11">
      <x:c r="A11" s="100" t="str">
        <x:v>Pros and cons</x:v>
      </x:c>
      <x:c r="B11" s="95" t="str">
        <x:v>P1</x:v>
      </x:c>
      <x:c r="C11" s="95" t="str">
        <x:v>Review/roundup</x:v>
      </x:c>
      <x:c r="D11" s="95" t="str">
        <x:v>Two-column</x:v>
      </x:c>
      <x:c r="E11" s="95" t="str">
        <x:v>Stacked</x:v>
      </x:c>
      <x:c r="F11" s="95" t="str">
        <x:v>Lists with visible labels</x:v>
      </x:c>
      <x:c r="G11" s="95" t="str">
        <x:v>Do not hide serious limitations</x:v>
      </x:c>
      <x:c r="H11" s="101" t="str">
        <x:v>Reusable and schema-compatible notes</x:v>
      </x:c>
    </x:row>
    <x:row r="12">
      <x:c r="A12" s="100" t="str">
        <x:v>Sticky table of contents</x:v>
      </x:c>
      <x:c r="B12" s="95" t="str">
        <x:v>P2</x:v>
      </x:c>
      <x:c r="C12" s="95" t="str">
        <x:v>Long pages</x:v>
      </x:c>
      <x:c r="D12" s="95" t="str">
        <x:v>Sidebar or top sticky</x:v>
      </x:c>
      <x:c r="E12" s="95" t="str">
        <x:v>Collapsible inline</x:v>
      </x:c>
      <x:c r="F12" s="95" t="str">
        <x:v>Anchor links and current-section state</x:v>
      </x:c>
      <x:c r="G12" s="95" t="str">
        <x:v>No sticky Amazon button covering content</x:v>
      </x:c>
      <x:c r="H12" s="101" t="str">
        <x:v>Disable when page is short</x:v>
      </x:c>
    </x:row>
    <x:row r="13">
      <x:c r="A13" s="100" t="str">
        <x:v>CTA button</x:v>
      </x:c>
      <x:c r="B13" s="95" t="str">
        <x:v>P0</x:v>
      </x:c>
      <x:c r="C13" s="95" t="str">
        <x:v>Affiliate placements</x:v>
      </x:c>
      <x:c r="D13" s="95" t="str">
        <x:v>High contrast, concise label</x:v>
      </x:c>
      <x:c r="E13" s="95" t="str">
        <x:v>Full-width within card only</x:v>
      </x:c>
      <x:c r="F13" s="95" t="str">
        <x:v>Accessible name, rel sponsored nofollow where appropriate</x:v>
      </x:c>
      <x:c r="G13" s="95" t="str">
        <x:v>Use “Check price on Amazon”; no misleading price claims</x:v>
      </x:c>
      <x:c r="H13" s="101" t="str">
        <x:v>Outbound click event fires once</x:v>
      </x:c>
    </x:row>
    <x:row r="14">
      <x:c r="A14" s="100" t="str">
        <x:v>Related content</x:v>
      </x:c>
      <x:c r="B14" s="95" t="str">
        <x:v>P1</x:v>
      </x:c>
      <x:c r="C14" s="95" t="str">
        <x:v>All content</x:v>
      </x:c>
      <x:c r="D14" s="95" t="str">
        <x:v>3–6 cards</x:v>
      </x:c>
      <x:c r="E14" s="95" t="str">
        <x:v>Horizontal scroll or stack</x:v>
      </x:c>
      <x:c r="F14" s="95" t="str">
        <x:v>Descriptive anchors</x:v>
      </x:c>
      <x:c r="G14" s="95" t="str">
        <x:v>Internal links, no affiliate links</x:v>
      </x:c>
      <x:c r="H14" s="101" t="str">
        <x:v>Pulled from explicit relationships, not random tags</x:v>
      </x:c>
    </x:row>
    <x:row r="15">
      <x:c r="A15" s="100" t="str">
        <x:v>FAQ accordion</x:v>
      </x:c>
      <x:c r="B15" s="95" t="str">
        <x:v>P2</x:v>
      </x:c>
      <x:c r="C15" s="95" t="str">
        <x:v>Content pages</x:v>
      </x:c>
      <x:c r="D15" s="95" t="str">
        <x:v>Optional accordion</x:v>
      </x:c>
      <x:c r="E15" s="95" t="str">
        <x:v>Accordion</x:v>
      </x:c>
      <x:c r="F15" s="95" t="str">
        <x:v>Questions/answers exist in HTML and are keyboard accessible</x:v>
      </x:c>
      <x:c r="G15" s="95" t="str">
        <x:v>No keyword-stuffed duplicates</x:v>
      </x:c>
      <x:c r="H15" s="101" t="str">
        <x:v>Collapsed content remains crawlable</x:v>
      </x:c>
    </x:row>
    <x:row r="16">
      <x:c r="A16" s="100" t="str">
        <x:v>Author/reviewer box</x:v>
      </x:c>
      <x:c r="B16" s="95" t="str">
        <x:v>P0</x:v>
      </x:c>
      <x:c r="C16" s="95" t="str">
        <x:v>All recommendation pages</x:v>
      </x:c>
      <x:c r="D16" s="95" t="str">
        <x:v>Compact bio and methodology links</x:v>
      </x:c>
      <x:c r="E16" s="95" t="str">
        <x:v>Stacked</x:v>
      </x:c>
      <x:c r="F16" s="95" t="str">
        <x:v>Person identity and accountability</x:v>
      </x:c>
      <x:c r="G16" s="95" t="str">
        <x:v>Builds trust; no fake credentials</x:v>
      </x:c>
      <x:c r="H16" s="101" t="str">
        <x:v>Links to author and editorial policy</x:v>
      </x:c>
    </x:row>
    <x:row r="17">
      <x:c r="A17" s="100" t="str">
        <x:v>Update/history note</x:v>
      </x:c>
      <x:c r="B17" s="95" t="str">
        <x:v>P1</x:v>
      </x:c>
      <x:c r="C17" s="95" t="str">
        <x:v>Reviews/roundups</x:v>
      </x:c>
      <x:c r="D17" s="95" t="str">
        <x:v>Last reviewed date + change note</x:v>
      </x:c>
      <x:c r="E17" s="95" t="str">
        <x:v>Same</x:v>
      </x:c>
      <x:c r="F17" s="95" t="str">
        <x:v>Use meaningful lastModified only</x:v>
      </x:c>
      <x:c r="G17" s="95" t="str">
        <x:v>Supports refresh trust</x:v>
      </x:c>
      <x:c r="H17" s="101" t="str">
        <x:v>Do not auto-update date without content change</x:v>
      </x:c>
    </x:row>
    <x:row r="18">
      <x:c r="A18" s="102" t="str">
        <x:v>Footer</x:v>
      </x:c>
      <x:c r="B18" s="103" t="str">
        <x:v>P0</x:v>
      </x:c>
      <x:c r="C18" s="103" t="str">
        <x:v>All pages</x:v>
      </x:c>
      <x:c r="D18" s="103" t="str">
        <x:v>Categories, trust/legal, contact</x:v>
      </x:c>
      <x:c r="E18" s="103" t="str">
        <x:v>Stacked sections</x:v>
      </x:c>
      <x:c r="F18" s="103" t="str">
        <x:v>Semantic footer; no excessive sitewide links</x:v>
      </x:c>
      <x:c r="G18" s="103" t="str">
        <x:v>Include required Associate statement</x:v>
      </x:c>
      <x:c r="H18" s="104" t="str">
        <x:v>Under 40 useful links</x:v>
      </x:c>
    </x:row>
  </x:sheetData>
  <x:dataValidations count="1">
    <x:dataValidation type="list" sqref="B2:B18">
      <x:formula1>"P0,P1,P2,P3,P4"</x:formula1>
    </x:dataValidation>
  </x:dataValidations>
  <x:pageMargins left="0.7" right="0.7" top="0.75" bottom="0.75" header="0.3" footer="0.3"/>
  <x:tableParts count="1">
    <x:tablePart xmlns:r="http://schemas.openxmlformats.org/officeDocument/2006/relationships" r:id="Re2ee6599e3e945a8"/>
  </x:tableParts>
</x:worksheet>
</file>

<file path=xl/worksheets/sheet12.xml><?xml version="1.0" encoding="utf-8"?>
<x:worksheet xmlns:x="http://schemas.openxmlformats.org/spreadsheetml/2006/main">
  <x:sheetFormatPr defaultRowHeight="15"/>
  <x:cols>
    <x:col min="1" max="1" width="12" hidden="0" customWidth="1"/>
    <x:col min="2" max="2" width="9" hidden="0" customWidth="1"/>
    <x:col min="3" max="3" width="22" hidden="0" customWidth="1"/>
    <x:col min="4" max="4" width="38" hidden="0" customWidth="1"/>
    <x:col min="5" max="5" width="68" hidden="0" customWidth="1"/>
    <x:col min="6" max="6" width="45" hidden="0" customWidth="1"/>
    <x:col min="7" max="7" width="50" hidden="0" customWidth="1"/>
    <x:col min="8" max="8" width="15" hidden="0" customWidth="1"/>
  </x:cols>
  <x:sheetData>
    <x:row r="1" ht="36" customHeight="1">
      <x:c r="A1" s="81" t="str">
        <x:v>Build ID</x:v>
      </x:c>
      <x:c r="B1" s="81" t="str">
        <x:v>Priority</x:v>
      </x:c>
      <x:c r="C1" s="81" t="str">
        <x:v>Area</x:v>
      </x:c>
      <x:c r="D1" s="81" t="str">
        <x:v>Recommended Path / File</x:v>
      </x:c>
      <x:c r="E1" s="81" t="str">
        <x:v>Implementation</x:v>
      </x:c>
      <x:c r="F1" s="81" t="str">
        <x:v>Vercel / Performance Notes</x:v>
      </x:c>
      <x:c r="G1" s="81" t="str">
        <x:v>Acceptance Test</x:v>
      </x:c>
      <x:c r="H1" s="81" t="str">
        <x:v>Status</x:v>
      </x:c>
    </x:row>
    <x:row r="2">
      <x:c r="A2" s="97" t="str">
        <x:v>DEV-001</x:v>
      </x:c>
      <x:c r="B2" s="98" t="str">
        <x:v>P0</x:v>
      </x:c>
      <x:c r="C2" s="98" t="str">
        <x:v>Project scaffold</x:v>
      </x:c>
      <x:c r="D2" s="98" t="str">
        <x:v>/app, /components, /lib, /content, /public</x:v>
      </x:c>
      <x:c r="E2" s="98" t="str">
        <x:v>Next.js App Router + TypeScript + ESLint; use current stable release</x:v>
      </x:c>
      <x:c r="F2" s="98" t="str">
        <x:v>Deploy preview for every branch</x:v>
      </x:c>
      <x:c r="G2" s="98" t="str">
        <x:v>pnpm/npm build passes without warnings</x:v>
      </x:c>
      <x:c r="H2" s="99" t="str">
        <x:v>Not Started</x:v>
      </x:c>
    </x:row>
    <x:row r="3">
      <x:c r="A3" s="100" t="str">
        <x:v>DEV-002</x:v>
      </x:c>
      <x:c r="B3" s="95" t="str">
        <x:v>P0</x:v>
      </x:c>
      <x:c r="C3" s="95" t="str">
        <x:v>Root layout</x:v>
      </x:c>
      <x:c r="D3" s="95" t="str">
        <x:v>app/layout.tsx</x:v>
      </x:c>
      <x:c r="E3" s="95" t="str">
        <x:v>Global metadataBase, fonts, header/footer, analytics and semantic landmarks</x:v>
      </x:c>
      <x:c r="F3" s="95" t="str">
        <x:v>Use next/font and minimize client components</x:v>
      </x:c>
      <x:c r="G3" s="95" t="str">
        <x:v>View source contains title, nav and footer</x:v>
      </x:c>
      <x:c r="H3" s="101" t="str">
        <x:v>Not Started</x:v>
      </x:c>
    </x:row>
    <x:row r="4">
      <x:c r="A4" s="100" t="str">
        <x:v>DEV-003</x:v>
      </x:c>
      <x:c r="B4" s="95" t="str">
        <x:v>P0</x:v>
      </x:c>
      <x:c r="C4" s="95" t="str">
        <x:v>Design tokens</x:v>
      </x:c>
      <x:c r="D4" s="95" t="str">
        <x:v>app/globals.css or design tokens module</x:v>
      </x:c>
      <x:c r="E4" s="95" t="str">
        <x:v>CSS variables for color, type, spacing, radius and focus states</x:v>
      </x:c>
      <x:c r="F4" s="95" t="str">
        <x:v>Avoid heavy component runtime</x:v>
      </x:c>
      <x:c r="G4" s="95" t="str">
        <x:v>Consistent responsive UI across templates</x:v>
      </x:c>
      <x:c r="H4" s="101" t="str">
        <x:v>Not Started</x:v>
      </x:c>
    </x:row>
    <x:row r="5">
      <x:c r="A5" s="100" t="str">
        <x:v>DEV-004</x:v>
      </x:c>
      <x:c r="B5" s="95" t="str">
        <x:v>P0</x:v>
      </x:c>
      <x:c r="C5" s="95" t="str">
        <x:v>Content model</x:v>
      </x:c>
      <x:c r="D5" s="95" t="str">
        <x:v>content/*.mdx + lib/content.ts</x:v>
      </x:c>
      <x:c r="E5" s="95" t="str">
        <x:v>Typed frontmatter: id, title, slug, description, pageType, cluster, parent, author, reviewer, dates, image, keywords, products, relationships, draft</x:v>
      </x:c>
      <x:c r="F5" s="95" t="str">
        <x:v>Build-time validation prevents broken data</x:v>
      </x:c>
      <x:c r="G5" s="95" t="str">
        <x:v>Invalid content fails build with helpful error</x:v>
      </x:c>
      <x:c r="H5" s="101" t="str">
        <x:v>Not Started</x:v>
      </x:c>
    </x:row>
    <x:row r="6">
      <x:c r="A6" s="100" t="str">
        <x:v>DEV-005</x:v>
      </x:c>
      <x:c r="B6" s="95" t="str">
        <x:v>P0</x:v>
      </x:c>
      <x:c r="C6" s="95" t="str">
        <x:v>Dynamic content route</x:v>
      </x:c>
      <x:c r="D6" s="95" t="str">
        <x:v>app/(content)/[...slug]/page.tsx</x:v>
      </x:c>
      <x:c r="E6" s="95" t="str">
        <x:v>Resolve content, generate metadata, JSON-LD, breadcrumbs and template by pageType</x:v>
      </x:c>
      <x:c r="F6" s="95" t="str">
        <x:v>Prefer static generation/ISR for public content</x:v>
      </x:c>
      <x:c r="G6" s="95" t="str">
        <x:v>Every inventory URL renders and 404s correctly</x:v>
      </x:c>
      <x:c r="H6" s="101" t="str">
        <x:v>Not Started</x:v>
      </x:c>
    </x:row>
    <x:row r="7">
      <x:c r="A7" s="100" t="str">
        <x:v>DEV-006</x:v>
      </x:c>
      <x:c r="B7" s="95" t="str">
        <x:v>P0</x:v>
      </x:c>
      <x:c r="C7" s="95" t="str">
        <x:v>Metadata</x:v>
      </x:c>
      <x:c r="D7" s="95" t="str">
        <x:v>generateMetadata</x:v>
      </x:c>
      <x:c r="E7" s="95" t="str">
        <x:v>Unique title, description, canonical, OG/Twitter image and robots directives</x:v>
      </x:c>
      <x:c r="F7" s="95" t="str">
        <x:v>No client-only metadata</x:v>
      </x:c>
      <x:c r="G7" s="95" t="str">
        <x:v>Automated duplicate metadata test passes</x:v>
      </x:c>
      <x:c r="H7" s="101" t="str">
        <x:v>Not Started</x:v>
      </x:c>
    </x:row>
    <x:row r="8">
      <x:c r="A8" s="100" t="str">
        <x:v>DEV-007</x:v>
      </x:c>
      <x:c r="B8" s="95" t="str">
        <x:v>P0</x:v>
      </x:c>
      <x:c r="C8" s="95" t="str">
        <x:v>Sitemap</x:v>
      </x:c>
      <x:c r="D8" s="95" t="str">
        <x:v>app/sitemap.ts</x:v>
      </x:c>
      <x:c r="E8" s="95" t="str">
        <x:v>Generate all published canonical URLs with honest lastModified</x:v>
      </x:c>
      <x:c r="F8" s="95" t="str">
        <x:v>Cached route; split only at scale</x:v>
      </x:c>
      <x:c r="G8" s="95" t="str">
        <x:v>Draft/noindex URLs excluded</x:v>
      </x:c>
      <x:c r="H8" s="101" t="str">
        <x:v>Not Started</x:v>
      </x:c>
    </x:row>
    <x:row r="9">
      <x:c r="A9" s="100" t="str">
        <x:v>DEV-008</x:v>
      </x:c>
      <x:c r="B9" s="95" t="str">
        <x:v>P0</x:v>
      </x:c>
      <x:c r="C9" s="95" t="str">
        <x:v>Robots</x:v>
      </x:c>
      <x:c r="D9" s="95" t="str">
        <x:v>app/robots.ts</x:v>
      </x:c>
      <x:c r="E9" s="95" t="str">
        <x:v>Allow public site; disallow API/preview/admin; include sitemap</x:v>
      </x:c>
      <x:c r="F9" s="95" t="str">
        <x:v>No blanket crawler blocks</x:v>
      </x:c>
      <x:c r="G9" s="95" t="str">
        <x:v>Production robots output verified</x:v>
      </x:c>
      <x:c r="H9" s="101" t="str">
        <x:v>Not Started</x:v>
      </x:c>
    </x:row>
    <x:row r="10">
      <x:c r="A10" s="100" t="str">
        <x:v>DEV-009</x:v>
      </x:c>
      <x:c r="B10" s="95" t="str">
        <x:v>P4</x:v>
      </x:c>
      <x:c r="C10" s="95" t="str">
        <x:v>LLM map</x:v>
      </x:c>
      <x:c r="D10" s="95" t="str">
        <x:v>app/llms.txt/route.ts</x:v>
      </x:c>
      <x:c r="E10" s="95" t="str">
        <x:v>Optional Markdown map of brand, methodology and priority content</x:v>
      </x:c>
      <x:c r="F10" s="95" t="str">
        <x:v>Keep static/cached and accurate</x:v>
      </x:c>
      <x:c r="G10" s="95" t="str">
        <x:v>Returns text/plain and valid links</x:v>
      </x:c>
      <x:c r="H10" s="101" t="str">
        <x:v>Not Started</x:v>
      </x:c>
    </x:row>
    <x:row r="11">
      <x:c r="A11" s="100" t="str">
        <x:v>DEV-010</x:v>
      </x:c>
      <x:c r="B11" s="95" t="str">
        <x:v>P0</x:v>
      </x:c>
      <x:c r="C11" s="95" t="str">
        <x:v>JSON-LD</x:v>
      </x:c>
      <x:c r="D11" s="95" t="str">
        <x:v>components/seo/JsonLd.tsx</x:v>
      </x:c>
      <x:c r="E11" s="95" t="str">
        <x:v>Safe JSON serialization; schema functions by page type</x:v>
      </x:c>
      <x:c r="F11" s="95" t="str">
        <x:v>Render server-side</x:v>
      </x:c>
      <x:c r="G11" s="95" t="str">
        <x:v>Rich Results Test and source inspection pass</x:v>
      </x:c>
      <x:c r="H11" s="101" t="str">
        <x:v>Not Started</x:v>
      </x:c>
    </x:row>
    <x:row r="12">
      <x:c r="A12" s="100" t="str">
        <x:v>DEV-011</x:v>
      </x:c>
      <x:c r="B12" s="95" t="str">
        <x:v>P0</x:v>
      </x:c>
      <x:c r="C12" s="95" t="str">
        <x:v>Affiliate link</x:v>
      </x:c>
      <x:c r="D12" s="95" t="str">
        <x:v>components/affiliate/AmazonLink.tsx</x:v>
      </x:c>
      <x:c r="E12" s="95" t="str">
        <x:v>Centralize tag, rel attributes, disclosure association and analytics event</x:v>
      </x:c>
      <x:c r="F12" s="95" t="str">
        <x:v>No tag in public code before account exists; env-driven</x:v>
      </x:c>
      <x:c r="G12" s="95" t="str">
        <x:v>No untagged affiliate link once account active</x:v>
      </x:c>
      <x:c r="H12" s="101" t="str">
        <x:v>Not Started</x:v>
      </x:c>
    </x:row>
    <x:row r="13">
      <x:c r="A13" s="100" t="str">
        <x:v>DEV-012</x:v>
      </x:c>
      <x:c r="B13" s="95" t="str">
        <x:v>P0</x:v>
      </x:c>
      <x:c r="C13" s="95" t="str">
        <x:v>Disclosure</x:v>
      </x:c>
      <x:c r="D13" s="95" t="str">
        <x:v>components/affiliate/AffiliateDisclosure.tsx</x:v>
      </x:c>
      <x:c r="E13" s="95" t="str">
        <x:v>Inline short disclosure plus link to full disclosure</x:v>
      </x:c>
      <x:c r="F13" s="95" t="str">
        <x:v>Static server component</x:v>
      </x:c>
      <x:c r="G13" s="95" t="str">
        <x:v>Displayed before first affiliate link</x:v>
      </x:c>
      <x:c r="H13" s="101" t="str">
        <x:v>Not Started</x:v>
      </x:c>
    </x:row>
    <x:row r="14">
      <x:c r="A14" s="100" t="str">
        <x:v>DEV-013</x:v>
      </x:c>
      <x:c r="B14" s="95" t="str">
        <x:v>P1</x:v>
      </x:c>
      <x:c r="C14" s="95" t="str">
        <x:v>Comparison table</x:v>
      </x:c>
      <x:c r="D14" s="95" t="str">
        <x:v>components/content/ComparisonTable.tsx</x:v>
      </x:c>
      <x:c r="E14" s="95" t="str">
        <x:v>Typed columns, accessible caption, mobile wrapper and optional CTA cells</x:v>
      </x:c>
      <x:c r="F14" s="95" t="str">
        <x:v>Avoid client JS unless sorting/filtering is essential</x:v>
      </x:c>
      <x:c r="G14" s="95" t="str">
        <x:v>Works at 320px; headers readable</x:v>
      </x:c>
      <x:c r="H14" s="101" t="str">
        <x:v>Not Started</x:v>
      </x:c>
    </x:row>
    <x:row r="15">
      <x:c r="A15" s="100" t="str">
        <x:v>DEV-014</x:v>
      </x:c>
      <x:c r="B15" s="95" t="str">
        <x:v>P1</x:v>
      </x:c>
      <x:c r="C15" s="95" t="str">
        <x:v>Verdict blocks</x:v>
      </x:c>
      <x:c r="D15" s="95" t="str">
        <x:v>components/content/QuickVerdict.tsx</x:v>
      </x:c>
      <x:c r="E15" s="95" t="str">
        <x:v>Answer-first summary, buy-if/skip-if, pros/cons and evidence note</x:v>
      </x:c>
      <x:c r="F15" s="95" t="str">
        <x:v>Server component</x:v>
      </x:c>
      <x:c r="G15" s="95" t="str">
        <x:v>Core text appears in source HTML</x:v>
      </x:c>
      <x:c r="H15" s="101" t="str">
        <x:v>Not Started</x:v>
      </x:c>
    </x:row>
    <x:row r="16">
      <x:c r="A16" s="100" t="str">
        <x:v>DEV-015</x:v>
      </x:c>
      <x:c r="B16" s="95" t="str">
        <x:v>P1</x:v>
      </x:c>
      <x:c r="C16" s="95" t="str">
        <x:v>Product data</x:v>
      </x:c>
      <x:c r="D16" s="95" t="str">
        <x:v>content-data/products/*.json or typed TS data</x:v>
      </x:c>
      <x:c r="E16" s="95" t="str">
        <x:v>Store verified specs, model names, ASIN, checked date and links separately</x:v>
      </x:c>
      <x:c r="F16" s="95" t="str">
        <x:v>Easy refresh without rewriting prose</x:v>
      </x:c>
      <x:c r="G16" s="95" t="str">
        <x:v>Missing checked date/ASIN validation warns editor</x:v>
      </x:c>
      <x:c r="H16" s="101" t="str">
        <x:v>Not Started</x:v>
      </x:c>
    </x:row>
    <x:row r="17">
      <x:c r="A17" s="100" t="str">
        <x:v>DEV-016</x:v>
      </x:c>
      <x:c r="B17" s="95" t="str">
        <x:v>P1</x:v>
      </x:c>
      <x:c r="C17" s="95" t="str">
        <x:v>Images</x:v>
      </x:c>
      <x:c r="D17" s="95" t="str">
        <x:v>next/image + public/original assets</x:v>
      </x:c>
      <x:c r="E17" s="95" t="str">
        <x:v>Explicit dimensions, responsive sizes, WebP/AVIF, descriptive alt</x:v>
      </x:c>
      <x:c r="F17" s="95" t="str">
        <x:v>Use Vercel image optimization responsibly</x:v>
      </x:c>
      <x:c r="G17" s="95" t="str">
        <x:v>No CLS; images are licensed/permitted</x:v>
      </x:c>
      <x:c r="H17" s="101" t="str">
        <x:v>Not Started</x:v>
      </x:c>
    </x:row>
    <x:row r="18">
      <x:c r="A18" s="100" t="str">
        <x:v>DEV-017</x:v>
      </x:c>
      <x:c r="B18" s="95" t="str">
        <x:v>P0</x:v>
      </x:c>
      <x:c r="C18" s="95" t="str">
        <x:v>Analytics</x:v>
      </x:c>
      <x:c r="D18" s="95" t="str">
        <x:v>@vercel/analytics + GA4</x:v>
      </x:c>
      <x:c r="E18" s="95" t="str">
        <x:v>Track page views, outbound Amazon clicks, table CTA clicks and internal search</x:v>
      </x:c>
      <x:c r="F18" s="95" t="str">
        <x:v>Respect consent/privacy requirements</x:v>
      </x:c>
      <x:c r="G18" s="95" t="str">
        <x:v>Events appear with page ID and placement</x:v>
      </x:c>
      <x:c r="H18" s="101" t="str">
        <x:v>Not Started</x:v>
      </x:c>
    </x:row>
    <x:row r="19">
      <x:c r="A19" s="100" t="str">
        <x:v>DEV-018</x:v>
      </x:c>
      <x:c r="B19" s="95" t="str">
        <x:v>P0</x:v>
      </x:c>
      <x:c r="C19" s="95" t="str">
        <x:v>Speed Insights</x:v>
      </x:c>
      <x:c r="D19" s="95" t="str">
        <x:v>@vercel/speed-insights</x:v>
      </x:c>
      <x:c r="E19" s="95" t="str">
        <x:v>Monitor page-level Core Web Vitals</x:v>
      </x:c>
      <x:c r="F19" s="95" t="str">
        <x:v>Field data on Vercel</x:v>
      </x:c>
      <x:c r="G19" s="95" t="str">
        <x:v>No large client bundle added by content components</x:v>
      </x:c>
      <x:c r="H19" s="101" t="str">
        <x:v>Not Started</x:v>
      </x:c>
    </x:row>
    <x:row r="20">
      <x:c r="A20" s="100" t="str">
        <x:v>DEV-019</x:v>
      </x:c>
      <x:c r="B20" s="95" t="str">
        <x:v>P2</x:v>
      </x:c>
      <x:c r="C20" s="95" t="str">
        <x:v>Site search</x:v>
      </x:c>
      <x:c r="D20" s="95" t="str">
        <x:v>app/search + server-side index</x:v>
      </x:c>
      <x:c r="E20" s="95" t="str">
        <x:v>Search titles, keywords and summaries; no external indexing required initially</x:v>
      </x:c>
      <x:c r="F20" s="95" t="str">
        <x:v>Cache index; no large client bundle</x:v>
      </x:c>
      <x:c r="G20" s="95" t="str">
        <x:v>Relevant results, accessible form, no index bloat</x:v>
      </x:c>
      <x:c r="H20" s="101" t="str">
        <x:v>Not Started</x:v>
      </x:c>
    </x:row>
    <x:row r="21">
      <x:c r="A21" s="100" t="str">
        <x:v>DEV-020</x:v>
      </x:c>
      <x:c r="B21" s="95" t="str">
        <x:v>P0</x:v>
      </x:c>
      <x:c r="C21" s="95" t="str">
        <x:v>Draft preview</x:v>
      </x:c>
      <x:c r="D21" s="95" t="str">
        <x:v>Draft Mode + protected route</x:v>
      </x:c>
      <x:c r="E21" s="95" t="str">
        <x:v>Secure previews for editors</x:v>
      </x:c>
      <x:c r="F21" s="95" t="str">
        <x:v>Preview URLs noindex and not in sitemap</x:v>
      </x:c>
      <x:c r="G21" s="95" t="str">
        <x:v>Unauthorized users cannot access drafts</x:v>
      </x:c>
      <x:c r="H21" s="101" t="str">
        <x:v>Not Started</x:v>
      </x:c>
    </x:row>
    <x:row r="22">
      <x:c r="A22" s="100" t="str">
        <x:v>DEV-021</x:v>
      </x:c>
      <x:c r="B22" s="95" t="str">
        <x:v>P0</x:v>
      </x:c>
      <x:c r="C22" s="95" t="str">
        <x:v>Error handling</x:v>
      </x:c>
      <x:c r="D22" s="95" t="str">
        <x:v>not-found.tsx, error.tsx</x:v>
      </x:c>
      <x:c r="E22" s="95" t="str">
        <x:v>Helpful 404 and resilient error UI</x:v>
      </x:c>
      <x:c r="F22" s="95" t="str">
        <x:v>Log errors without exposing secrets</x:v>
      </x:c>
      <x:c r="G22" s="95" t="str">
        <x:v>Broken slugs return correct status</x:v>
      </x:c>
      <x:c r="H22" s="101" t="str">
        <x:v>Not Started</x:v>
      </x:c>
    </x:row>
    <x:row r="23">
      <x:c r="A23" s="100" t="str">
        <x:v>DEV-022</x:v>
      </x:c>
      <x:c r="B23" s="95" t="str">
        <x:v>P0</x:v>
      </x:c>
      <x:c r="C23" s="95" t="str">
        <x:v>Security headers</x:v>
      </x:c>
      <x:c r="D23" s="95" t="str">
        <x:v>vercel.json or next.config</x:v>
      </x:c>
      <x:c r="E23" s="95" t="str">
        <x:v>CSP strategy, HSTS, nosniff, referrer policy, permissions policy</x:v>
      </x:c>
      <x:c r="F23" s="95" t="str">
        <x:v>Test third-party scripts before strict CSP</x:v>
      </x:c>
      <x:c r="G23" s="95" t="str">
        <x:v>Security headers present on production</x:v>
      </x:c>
      <x:c r="H23" s="101" t="str">
        <x:v>Not Started</x:v>
      </x:c>
    </x:row>
    <x:row r="24">
      <x:c r="A24" s="100" t="str">
        <x:v>DEV-023</x:v>
      </x:c>
      <x:c r="B24" s="95" t="str">
        <x:v>P0</x:v>
      </x:c>
      <x:c r="C24" s="95" t="str">
        <x:v>Quality gates</x:v>
      </x:c>
      <x:c r="D24" s="95" t="str">
        <x:v>CI workflow</x:v>
      </x:c>
      <x:c r="E24" s="95" t="str">
        <x:v>Typecheck, lint, build, broken internal links, duplicate metadata, schema/unit tests</x:v>
      </x:c>
      <x:c r="F24" s="95" t="str">
        <x:v>Run on pull requests</x:v>
      </x:c>
      <x:c r="G24" s="95" t="str">
        <x:v>Deployment blocked on critical failures</x:v>
      </x:c>
      <x:c r="H24" s="101" t="str">
        <x:v>Not Started</x:v>
      </x:c>
    </x:row>
    <x:row r="25">
      <x:c r="A25" s="102" t="str">
        <x:v>DEV-024</x:v>
      </x:c>
      <x:c r="B25" s="103" t="str">
        <x:v>P1</x:v>
      </x:c>
      <x:c r="C25" s="103" t="str">
        <x:v>Revalidation</x:v>
      </x:c>
      <x:c r="D25" s="103" t="str">
        <x:v>ISR / on-demand revalidation</x:v>
      </x:c>
      <x:c r="E25" s="103" t="str">
        <x:v>Rebuild changed content and product data without full deploy where useful</x:v>
      </x:c>
      <x:c r="F25" s="103" t="str">
        <x:v>Use tags/path revalidation carefully</x:v>
      </x:c>
      <x:c r="G25" s="103" t="str">
        <x:v>Updated content appears and lastModified changes honestly</x:v>
      </x:c>
      <x:c r="H25" s="104" t="str">
        <x:v>Not Started</x:v>
      </x:c>
    </x:row>
  </x:sheetData>
  <x:conditionalFormatting sqref="H2:H25">
    <x:cfRule type="expression" dxfId="20" priority="1">
      <x:formula>$H2="Published"</x:formula>
    </x:cfRule>
    <x:cfRule type="expression" dxfId="21" priority="2">
      <x:formula>$H2="Writing"</x:formula>
    </x:cfRule>
    <x:cfRule type="expression" dxfId="22" priority="3">
      <x:formula>$H2="Editing"</x:formula>
    </x:cfRule>
    <x:cfRule type="expression" dxfId="23" priority="4">
      <x:formula>$H2="Blocked"</x:formula>
    </x:cfRule>
  </x:conditionalFormatting>
  <x:dataValidations count="2">
    <x:dataValidation type="list" sqref="B2:B25">
      <x:formula1>"P0,P1,P2,P3,P4"</x:formula1>
    </x:dataValidation>
    <x:dataValidation type="list" sqref="H2:H25">
      <x:formula1>"Not Started,Brief Ready,Writing,Editing,Published,Refreshing,Blocked"</x:formula1>
    </x:dataValidation>
  </x:dataValidations>
  <x:pageMargins left="0.7" right="0.7" top="0.75" bottom="0.75" header="0.3" footer="0.3"/>
  <x:tableParts count="1">
    <x:tablePart xmlns:r="http://schemas.openxmlformats.org/officeDocument/2006/relationships" r:id="R1aac91617c874578"/>
  </x:tableParts>
</x:worksheet>
</file>

<file path=xl/worksheets/sheet13.xml><?xml version="1.0" encoding="utf-8"?>
<x:worksheet xmlns:x="http://schemas.openxmlformats.org/spreadsheetml/2006/main">
  <x:sheetFormatPr defaultRowHeight="15"/>
  <x:cols>
    <x:col min="1" max="1" width="13" hidden="0" customWidth="1"/>
    <x:col min="2" max="2" width="9" hidden="0" customWidth="1"/>
    <x:col min="3" max="3" width="30" hidden="0" customWidth="1"/>
    <x:col min="4" max="4" width="120" hidden="0" customWidth="1"/>
    <x:col min="5" max="5" width="42" hidden="0" customWidth="1"/>
    <x:col min="6" max="6" width="55" hidden="0" customWidth="1"/>
  </x:cols>
  <x:sheetData>
    <x:row r="1" ht="36" customHeight="1">
      <x:c r="A1" s="81" t="str">
        <x:v>Prompt ID</x:v>
      </x:c>
      <x:c r="B1" s="81" t="str">
        <x:v>Priority</x:v>
      </x:c>
      <x:c r="C1" s="81" t="str">
        <x:v>Use When</x:v>
      </x:c>
      <x:c r="D1" s="81" t="str">
        <x:v>Copy-Paste Prompt for Cursor</x:v>
      </x:c>
      <x:c r="E1" s="81" t="str">
        <x:v>Expected Output</x:v>
      </x:c>
      <x:c r="F1" s="81" t="str">
        <x:v>Review Checklist</x:v>
      </x:c>
    </x:row>
    <x:row r="2">
      <x:c r="A2" s="97" t="str">
        <x:v>CUR-001</x:v>
      </x:c>
      <x:c r="B2" s="98" t="str">
        <x:v>P0</x:v>
      </x:c>
      <x:c r="C2" s="98" t="str">
        <x:v>Starting the repository</x:v>
      </x:c>
      <x:c r="D2" s="98" t="str">
        <x:v>Act as a senior Next.js architect. Build a production-ready Next.js App Router project for countercrave.com using TypeScript. It will be deployed on Vercel and must prioritize server-rendered content, Core Web Vitals, accessibility, SEO and maintainability. Create a clear folder structure for app routes, reusable content components, SEO helpers, affiliate components, typed content data, tests and public assets. Use the current stable Next.js APIs. Keep client components to the minimum. Do not add affiliate links or Amazon trademarks yet. Return the file tree, key files and setup commands.</x:v>
      </x:c>
      <x:c r="E2" s="98" t="str">
        <x:v>Clean scaffold, file tree and build instructions</x:v>
      </x:c>
      <x:c r="F2" s="99" t="str">
        <x:v>Stable APIs; TypeScript; no unnecessary dependencies; build passes</x:v>
      </x:c>
    </x:row>
    <x:row r="3">
      <x:c r="A3" s="100" t="str">
        <x:v>CUR-002</x:v>
      </x:c>
      <x:c r="B3" s="95" t="str">
        <x:v>P0</x:v>
      </x:c>
      <x:c r="C3" s="95" t="str">
        <x:v>Building the design system</x:v>
      </x:c>
      <x:c r="D3" s="95" t="str">
        <x:v>Create a responsive editorial design system for CounterCrave, a trustworthy kitchen appliance review site. Use accessible CSS variables and reusable components for header, footer, breadcrumbs, content container, cards, buttons, tables, callouts, author boxes and disclosure bars. The style should feel premium and independent, not like an Amazon clone. Optimize for mobile reading and comparison tables. Include focus states, reduced-motion support and strong contrast. Keep JavaScript minimal.</x:v>
      </x:c>
      <x:c r="E3" s="95" t="str">
        <x:v>Global styles and reusable layout components</x:v>
      </x:c>
      <x:c r="F3" s="101" t="str">
        <x:v>Mobile 320px; focus visible; no layout shift; consistent tokens</x:v>
      </x:c>
    </x:row>
    <x:row r="4">
      <x:c r="A4" s="100" t="str">
        <x:v>CUR-003</x:v>
      </x:c>
      <x:c r="B4" s="95" t="str">
        <x:v>P0</x:v>
      </x:c>
      <x:c r="C4" s="95" t="str">
        <x:v>Creating the content model</x:v>
      </x:c>
      <x:c r="D4" s="95" t="str">
        <x:v>Design a typed MDX/content model for CounterCrave. Required fields: pageId, title, slug, description, pageType, cluster, parentPillar, primaryKeyword, secondaryKeywords, author, reviewer, publishedAt, updatedAt, heroImage, imageAlt, disclosureRequired, products, relatedPageIds, sources and draft. Add schema validation that fails the build with useful messages. Add helpers to get all published pages, page by slug, related pages and pages by cluster. Drafts must never appear in production sitemap or navigation.</x:v>
      </x:c>
      <x:c r="E4" s="95" t="str">
        <x:v>Validated content schema and retrieval utilities</x:v>
      </x:c>
      <x:c r="F4" s="101" t="str">
        <x:v>Build-time errors; draft exclusion; stable page IDs</x:v>
      </x:c>
    </x:row>
    <x:row r="5">
      <x:c r="A5" s="100" t="str">
        <x:v>CUR-004</x:v>
      </x:c>
      <x:c r="B5" s="95" t="str">
        <x:v>P0</x:v>
      </x:c>
      <x:c r="C5" s="95" t="str">
        <x:v>Building the page renderer</x:v>
      </x:c>
      <x:c r="D5" s="95" t="str">
        <x:v>Build a dynamic server-rendered content route for CounterCrave that selects a template based on pageType: Category Hub, Commercial Pillar, Roundup, Single Review, Comparison, Buying Guide, Informational and How-To. Render breadcrumb, disclosure when required, H1, answer summary, content body, author/reviewer, last meaningful update, related content and page-specific structured data. Avoid client-side rendering for primary content.</x:v>
      </x:c>
      <x:c r="E5" s="95" t="str">
        <x:v>Reusable page renderer for all content types</x:v>
      </x:c>
      <x:c r="F5" s="101" t="str">
        <x:v>One H1; source HTML contains main content; correct 404 handling</x:v>
      </x:c>
    </x:row>
    <x:row r="6">
      <x:c r="A6" s="100" t="str">
        <x:v>CUR-005</x:v>
      </x:c>
      <x:c r="B6" s="95" t="str">
        <x:v>P0</x:v>
      </x:c>
      <x:c r="C6" s="95" t="str">
        <x:v>Metadata and canonical SEO</x:v>
      </x:c>
      <x:c r="D6" s="95" t="str">
        <x:v>Implement generateMetadata for CounterCrave using typed content data. Include metadataBase https://countercrave.com, unique title and description, self-referencing canonical, Open Graph, Twitter image, robots directives and article dates where relevant. Add tests that detect duplicate titles, duplicate descriptions, duplicate canonical URLs and missing metadata. Use one canonical hostname and one trailing-slash policy.</x:v>
      </x:c>
      <x:c r="E6" s="95" t="str">
        <x:v>Metadata helper and duplicate checks</x:v>
      </x:c>
      <x:c r="F6" s="101" t="str">
        <x:v>No duplicate metadata; correct canonical; draft noindex</x:v>
      </x:c>
    </x:row>
    <x:row r="7">
      <x:c r="A7" s="100" t="str">
        <x:v>CUR-006</x:v>
      </x:c>
      <x:c r="B7" s="95" t="str">
        <x:v>P0</x:v>
      </x:c>
      <x:c r="C7" s="95" t="str">
        <x:v>Sitemap and robots</x:v>
      </x:c>
      <x:c r="D7" s="95" t="str">
        <x:v>Create app/sitemap.ts and app/robots.ts for CounterCrave. The sitemap must include only published canonical URLs and use meaningful lastModified values from content data. robots.txt should allow public content, reference the sitemap and disallow private API, preview and admin-style paths. Do not block normal search crawlers. Add a small test or script to verify expected output.</x:v>
      </x:c>
      <x:c r="E7" s="95" t="str">
        <x:v>Valid sitemap and robots routes</x:v>
      </x:c>
      <x:c r="F7" s="101" t="str">
        <x:v>No drafts; no private paths; sitemap URLs resolve</x:v>
      </x:c>
    </x:row>
    <x:row r="8">
      <x:c r="A8" s="100" t="str">
        <x:v>CUR-007</x:v>
      </x:c>
      <x:c r="B8" s="95" t="str">
        <x:v>P1</x:v>
      </x:c>
      <x:c r="C8" s="95" t="str">
        <x:v>Structured data</x:v>
      </x:c>
      <x:c r="D8" s="95" t="str">
        <x:v>Create safe JSON-LD helpers for CounterCrave using Next.js server components. Support Organization, WebSite, BreadcrumbList, Article, CollectionPage, ItemList and Product/Review only when the visible content and data qualify. Never output aggregate ratings copied from Amazon. Serialize JSON safely to prevent script injection. Add example output and validation tests for each page type.</x:v>
      </x:c>
      <x:c r="E8" s="95" t="str">
        <x:v>Schema helpers and tests</x:v>
      </x:c>
      <x:c r="F8" s="101" t="str">
        <x:v>Visible-content match; no fake review data; safe serialization</x:v>
      </x:c>
    </x:row>
    <x:row r="9">
      <x:c r="A9" s="100" t="str">
        <x:v>CUR-008</x:v>
      </x:c>
      <x:c r="B9" s="95" t="str">
        <x:v>P0</x:v>
      </x:c>
      <x:c r="C9" s="95" t="str">
        <x:v>Affiliate components</x:v>
      </x:c>
      <x:c r="D9" s="95" t="str">
        <x:v>Build Amazon affiliate components for CounterCrave: AffiliateDisclosure, AmazonLink and ProductCTA. The Associate tag must come from an environment variable. Links must support correct rel attributes, accessible labels, placement IDs and outbound analytics events. Default button copy is “Check price on Amazon.” Do not hardcode prices or customer star ratings. Ensure the inline disclosure appears before the first affiliate link on each monetized page.</x:v>
      </x:c>
      <x:c r="E9" s="95" t="str">
        <x:v>Central affiliate link and disclosure system</x:v>
      </x:c>
      <x:c r="F9" s="101" t="str">
        <x:v>Tag controlled centrally; disclosure visible; event tracked</x:v>
      </x:c>
    </x:row>
    <x:row r="10">
      <x:c r="A10" s="100" t="str">
        <x:v>CUR-009</x:v>
      </x:c>
      <x:c r="B10" s="95" t="str">
        <x:v>P1</x:v>
      </x:c>
      <x:c r="C10" s="95" t="str">
        <x:v>Comparison tables</x:v>
      </x:c>
      <x:c r="D10" s="95" t="str">
        <x:v>Build an accessible, responsive comparison table component for editorial product roundups. It must use native table semantics, caption, scope headers, explicit units, optional recommended badges and optional Amazon CTA cells. On small screens, use a safe horizontal wrapper or an accessible card mode without duplicating hidden content. Keep sorting optional and server-render the initial table.</x:v>
      </x:c>
      <x:c r="E10" s="95" t="str">
        <x:v>Reusable table component</x:v>
      </x:c>
      <x:c r="F10" s="101" t="str">
        <x:v>Readable at 320px; keyboard accessible; no clipped CTAs</x:v>
      </x:c>
    </x:row>
    <x:row r="11">
      <x:c r="A11" s="100" t="str">
        <x:v>CUR-010</x:v>
      </x:c>
      <x:c r="B11" s="95" t="str">
        <x:v>P1</x:v>
      </x:c>
      <x:c r="C11" s="95" t="str">
        <x:v>Verdict and review components</x:v>
      </x:c>
      <x:c r="D11" s="95" t="str">
        <x:v>Build reusable server components for QuickVerdict, TopPicks, ProductVerdict, ReviewScorecard, BuyIfSkipIf, ProsCons and Alternatives. Components must accept typed data, render clean semantic HTML, expose evidence notes and avoid decorative star ratings unless the score is CounterCrave's own transparent editorial score. Include Storybook-like demo pages or fixtures.</x:v>
      </x:c>
      <x:c r="E11" s="95" t="str">
        <x:v>Editorial decision components</x:v>
      </x:c>
      <x:c r="F11" s="101" t="str">
        <x:v>Answer-first; evidence note; accessible lists/headings</x:v>
      </x:c>
    </x:row>
    <x:row r="12">
      <x:c r="A12" s="100" t="str">
        <x:v>CUR-011</x:v>
      </x:c>
      <x:c r="B12" s="95" t="str">
        <x:v>P1</x:v>
      </x:c>
      <x:c r="C12" s="95" t="str">
        <x:v>Analytics events</x:v>
      </x:c>
      <x:c r="D12" s="95" t="str">
        <x:v>Add privacy-aware GA4 and Vercel Analytics integration. Track outbound Amazon clicks with pageId, cluster, pageType, productId and placement; internal recommendation clicks; search usage; and comparison table CTA clicks. Avoid sending personal data. Provide a typed event helper and a debugging mode for preview deployments.</x:v>
      </x:c>
      <x:c r="E12" s="95" t="str">
        <x:v>Typed analytics events</x:v>
      </x:c>
      <x:c r="F12" s="101" t="str">
        <x:v>No PII; consistent event names; preview debug works</x:v>
      </x:c>
    </x:row>
    <x:row r="13">
      <x:c r="A13" s="100" t="str">
        <x:v>CUR-012</x:v>
      </x:c>
      <x:c r="B13" s="95" t="str">
        <x:v>P0</x:v>
      </x:c>
      <x:c r="C13" s="95" t="str">
        <x:v>Performance pass</x:v>
      </x:c>
      <x:c r="D13" s="95" t="str">
        <x:v>Audit the CounterCrave Next.js code for Core Web Vitals and bundle size. Convert non-interactive components to server components, lazy-load only genuinely interactive widgets, optimize fonts and images, reserve image dimensions, remove unused dependencies and cache static content appropriately. Add Vercel Speed Insights. Return before/after risks and code changes.</x:v>
      </x:c>
      <x:c r="E13" s="95" t="str">
        <x:v>Performance-optimized build</x:v>
      </x:c>
      <x:c r="F13" s="101" t="str">
        <x:v>Minimal client JS; no CLS; build and Lighthouse checks</x:v>
      </x:c>
    </x:row>
    <x:row r="14">
      <x:c r="A14" s="100" t="str">
        <x:v>CUR-013</x:v>
      </x:c>
      <x:c r="B14" s="95" t="str">
        <x:v>P0</x:v>
      </x:c>
      <x:c r="C14" s="95" t="str">
        <x:v>Accessibility pass</x:v>
      </x:c>
      <x:c r="D14" s="95" t="str">
        <x:v>Audit CounterCrave for WCAG-oriented accessibility: landmarks, skip link, heading hierarchy, contrast, keyboard navigation, focus states, form labels, table semantics, accordion behavior, alt text and reduced motion. Fix issues in code and add automated axe tests for major templates.</x:v>
      </x:c>
      <x:c r="E14" s="95" t="str">
        <x:v>Accessible templates and tests</x:v>
      </x:c>
      <x:c r="F14" s="101" t="str">
        <x:v>Keyboard-only flow; axe critical issues zero</x:v>
      </x:c>
    </x:row>
    <x:row r="15">
      <x:c r="A15" s="100" t="str">
        <x:v>CUR-014</x:v>
      </x:c>
      <x:c r="B15" s="95" t="str">
        <x:v>P0</x:v>
      </x:c>
      <x:c r="C15" s="95" t="str">
        <x:v>CI and content QA</x:v>
      </x:c>
      <x:c r="D15" s="95" t="str">
        <x:v>Create a CI quality gate for CounterCrave that runs typecheck, lint, tests, production build, broken internal-link scan, duplicate slug/title/canonical checks, required frontmatter validation, missing alt text check and structured-data unit tests. Produce clear error messages that a content editor can act on.</x:v>
      </x:c>
      <x:c r="E15" s="95" t="str">
        <x:v>CI workflow and validation scripts</x:v>
      </x:c>
      <x:c r="F15" s="101" t="str">
        <x:v>Pull request fails on critical SEO/content data errors</x:v>
      </x:c>
    </x:row>
    <x:row r="16">
      <x:c r="A16" s="102" t="str">
        <x:v>CUR-015</x:v>
      </x:c>
      <x:c r="B16" s="103" t="str">
        <x:v>P4</x:v>
      </x:c>
      <x:c r="C16" s="103" t="str">
        <x:v>Optional llms.txt</x:v>
      </x:c>
      <x:c r="D16" s="103" t="str">
        <x:v>Create an optional /llms.txt route for CounterCrave as a small Markdown map. Include the brand description, editorial methodology, category hubs and highest-priority guides. Make clear in code comments that this is experimental and not a replacement for standard SEO, crawlability or clean HTML. Keep the route cached and generated from published content data.</x:v>
      </x:c>
      <x:c r="E16" s="103" t="str">
        <x:v>Optional accurate llms.txt</x:v>
      </x:c>
      <x:c r="F16" s="104" t="str">
        <x:v>No unsupported ranking claims; links match canonical URLs</x:v>
      </x:c>
    </x:row>
  </x:sheetData>
  <x:dataValidations count="1">
    <x:dataValidation type="list" sqref="B2:B16">
      <x:formula1>"P0,P1,P2,P3,P4"</x:formula1>
    </x:dataValidation>
  </x:dataValidations>
  <x:pageMargins left="0.7" right="0.7" top="0.75" bottom="0.75" header="0.3" footer="0.3"/>
  <x:tableParts count="1">
    <x:tablePart xmlns:r="http://schemas.openxmlformats.org/officeDocument/2006/relationships" r:id="Rc3e62135b65e4ba7"/>
  </x:tableParts>
</x:worksheet>
</file>

<file path=xl/worksheets/sheet14.xml><?xml version="1.0" encoding="utf-8"?>
<x:worksheet xmlns:x="http://schemas.openxmlformats.org/spreadsheetml/2006/main">
  <x:sheetFormatPr defaultRowHeight="15"/>
  <x:cols>
    <x:col min="1" max="1" width="28" hidden="0" customWidth="1"/>
    <x:col min="2" max="2" width="34" hidden="0" customWidth="1"/>
    <x:col min="3" max="3" width="60" hidden="0" customWidth="1"/>
    <x:col min="4" max="4" width="58" hidden="0" customWidth="1"/>
    <x:col min="5" max="5" width="35" hidden="0" customWidth="1"/>
    <x:col min="6" max="6" width="10" hidden="0" customWidth="1"/>
  </x:cols>
  <x:sheetData>
    <x:row r="1" ht="36" customHeight="1">
      <x:c r="A1" s="81" t="str">
        <x:v>Page / Entity</x:v>
      </x:c>
      <x:c r="B1" s="81" t="str">
        <x:v>Schema</x:v>
      </x:c>
      <x:c r="C1" s="81" t="str">
        <x:v>Required Data</x:v>
      </x:c>
      <x:c r="D1" s="81" t="str">
        <x:v>Do Not Do</x:v>
      </x:c>
      <x:c r="E1" s="81" t="str">
        <x:v>Validation</x:v>
      </x:c>
      <x:c r="F1" s="81" t="str">
        <x:v>Priority</x:v>
      </x:c>
    </x:row>
    <x:row r="2">
      <x:c r="A2" s="97" t="str">
        <x:v>Sitewide brand</x:v>
      </x:c>
      <x:c r="B2" s="98" t="str">
        <x:v>Organization</x:v>
      </x:c>
      <x:c r="C2" s="98" t="str">
        <x:v>name, url, logo, sameAs only for real profiles, contactPoint if accurate</x:v>
      </x:c>
      <x:c r="D2" s="98" t="str">
        <x:v>Do not invent awards, reviews or social profiles</x:v>
      </x:c>
      <x:c r="E2" s="98" t="str">
        <x:v>Schema validator + source inspection</x:v>
      </x:c>
      <x:c r="F2" s="99" t="str">
        <x:v>P0</x:v>
      </x:c>
    </x:row>
    <x:row r="3">
      <x:c r="A3" s="100" t="str">
        <x:v>Homepage</x:v>
      </x:c>
      <x:c r="B3" s="95" t="str">
        <x:v>WebSite</x:v>
      </x:c>
      <x:c r="C3" s="95" t="str">
        <x:v>name, url, potentialAction only if real site search exists</x:v>
      </x:c>
      <x:c r="D3" s="95" t="str">
        <x:v>Do not add SearchAction before search works</x:v>
      </x:c>
      <x:c r="E3" s="95" t="str">
        <x:v>Rich Results/validator</x:v>
      </x:c>
      <x:c r="F3" s="101" t="str">
        <x:v>P1</x:v>
      </x:c>
    </x:row>
    <x:row r="4">
      <x:c r="A4" s="100" t="str">
        <x:v>All content</x:v>
      </x:c>
      <x:c r="B4" s="95" t="str">
        <x:v>BreadcrumbList</x:v>
      </x:c>
      <x:c r="C4" s="95" t="str">
        <x:v>Visible breadcrumb items and canonical URLs</x:v>
      </x:c>
      <x:c r="D4" s="95" t="str">
        <x:v>Do not create hidden breadcrumb hierarchy</x:v>
      </x:c>
      <x:c r="E4" s="95" t="str">
        <x:v>Rich Results Test</x:v>
      </x:c>
      <x:c r="F4" s="101" t="str">
        <x:v>P0</x:v>
      </x:c>
    </x:row>
    <x:row r="5">
      <x:c r="A5" s="100" t="str">
        <x:v>Category hub</x:v>
      </x:c>
      <x:c r="B5" s="95" t="str">
        <x:v>CollectionPage + ItemList</x:v>
      </x:c>
      <x:c r="C5" s="95" t="str">
        <x:v>Name, description and visible item links</x:v>
      </x:c>
      <x:c r="D5" s="95" t="str">
        <x:v>Do not list unpublished pages</x:v>
      </x:c>
      <x:c r="E5" s="95" t="str">
        <x:v>Schema validator</x:v>
      </x:c>
      <x:c r="F5" s="101" t="str">
        <x:v>P1</x:v>
      </x:c>
    </x:row>
    <x:row r="6">
      <x:c r="A6" s="100" t="str">
        <x:v>Commercial pillar / roundup</x:v>
      </x:c>
      <x:c r="B6" s="95" t="str">
        <x:v>Article + ItemList</x:v>
      </x:c>
      <x:c r="C6" s="95" t="str">
        <x:v>Author, dates, headline, image, visible ranked items</x:v>
      </x:c>
      <x:c r="D6" s="95" t="str">
        <x:v>Do not mark every item as Product if data is incomplete</x:v>
      </x:c>
      <x:c r="E6" s="95" t="str">
        <x:v>Rich Results Test</x:v>
      </x:c>
      <x:c r="F6" s="101" t="str">
        <x:v>P1</x:v>
      </x:c>
    </x:row>
    <x:row r="7">
      <x:c r="A7" s="100" t="str">
        <x:v>Single review</x:v>
      </x:c>
      <x:c r="B7" s="95" t="str">
        <x:v>Product + Review</x:v>
      </x:c>
      <x:c r="C7" s="95" t="str">
        <x:v>Exact product/model, reviewer, review body, transparent editorial rating if used, pros/cons where eligible</x:v>
      </x:c>
      <x:c r="D7" s="95" t="str">
        <x:v>Never copy Amazon customer ratings; never invent testing or offers</x:v>
      </x:c>
      <x:c r="E7" s="95" t="str">
        <x:v>Product snippet report + Rich Results Test</x:v>
      </x:c>
      <x:c r="F7" s="101" t="str">
        <x:v>P2</x:v>
      </x:c>
    </x:row>
    <x:row r="8">
      <x:c r="A8" s="100" t="str">
        <x:v>Comparison</x:v>
      </x:c>
      <x:c r="B8" s="95" t="str">
        <x:v>Article + ItemList</x:v>
      </x:c>
      <x:c r="C8" s="95" t="str">
        <x:v>Both visible compared entities and article metadata</x:v>
      </x:c>
      <x:c r="D8" s="95" t="str">
        <x:v>Do not output a fake aggregate winner rating</x:v>
      </x:c>
      <x:c r="E8" s="95" t="str">
        <x:v>Schema validator</x:v>
      </x:c>
      <x:c r="F8" s="101" t="str">
        <x:v>P2</x:v>
      </x:c>
    </x:row>
    <x:row r="9">
      <x:c r="A9" s="100" t="str">
        <x:v>Buying guide / informational</x:v>
      </x:c>
      <x:c r="B9" s="95" t="str">
        <x:v>Article</x:v>
      </x:c>
      <x:c r="C9" s="95" t="str">
        <x:v>Author, headline, dates, image, description</x:v>
      </x:c>
      <x:c r="D9" s="95" t="str">
        <x:v>Do not add FAQPage solely for ranking</x:v>
      </x:c>
      <x:c r="E9" s="95" t="str">
        <x:v>Schema validator</x:v>
      </x:c>
      <x:c r="F9" s="101" t="str">
        <x:v>P1</x:v>
      </x:c>
    </x:row>
    <x:row r="10">
      <x:c r="A10" s="100" t="str">
        <x:v>How-to</x:v>
      </x:c>
      <x:c r="B10" s="95" t="str">
        <x:v>HowTo when eligible</x:v>
      </x:c>
      <x:c r="C10" s="95" t="str">
        <x:v>Visible steps, supplies/tools if applicable, images</x:v>
      </x:c>
      <x:c r="D10" s="95" t="str">
        <x:v>Do not mark generic advice as HowTo if requirements are not met</x:v>
      </x:c>
      <x:c r="E10" s="95" t="str">
        <x:v>Rich Results Test</x:v>
      </x:c>
      <x:c r="F10" s="101" t="str">
        <x:v>P3</x:v>
      </x:c>
    </x:row>
    <x:row r="11">
      <x:c r="A11" s="102" t="str">
        <x:v>FAQ content</x:v>
      </x:c>
      <x:c r="B11" s="103" t="str">
        <x:v>FAQPage only when appropriate</x:v>
      </x:c>
      <x:c r="C11" s="103" t="str">
        <x:v>Visible questions and answers</x:v>
      </x:c>
      <x:c r="D11" s="103" t="str">
        <x:v>Do not duplicate or hide answers; rich result display is not guaranteed</x:v>
      </x:c>
      <x:c r="E11" s="103" t="str">
        <x:v>Rich Results Test</x:v>
      </x:c>
      <x:c r="F11" s="104" t="str">
        <x:v>P3</x:v>
      </x:c>
    </x:row>
  </x:sheetData>
  <x:dataValidations count="1">
    <x:dataValidation type="list" sqref="F2:F11">
      <x:formula1>"P0,P1,P2,P3,P4"</x:formula1>
    </x:dataValidation>
  </x:dataValidations>
  <x:pageMargins left="0.7" right="0.7" top="0.75" bottom="0.75" header="0.3" footer="0.3"/>
  <x:tableParts count="1">
    <x:tablePart xmlns:r="http://schemas.openxmlformats.org/officeDocument/2006/relationships" r:id="R75bb6aea03a54d2b"/>
  </x:tableParts>
</x:worksheet>
</file>

<file path=xl/worksheets/sheet15.xml><?xml version="1.0" encoding="utf-8"?>
<x:worksheet xmlns:x="http://schemas.openxmlformats.org/spreadsheetml/2006/main">
  <x:sheetFormatPr defaultRowHeight="15"/>
  <x:cols>
    <x:col min="1" max="1" width="26" hidden="0" customWidth="1"/>
    <x:col min="2" max="2" width="9" hidden="0" customWidth="1"/>
    <x:col min="3" max="3" width="57" hidden="0" customWidth="1"/>
    <x:col min="4" max="4" width="57" hidden="0" customWidth="1"/>
    <x:col min="5" max="5" width="57" hidden="0" customWidth="1"/>
    <x:col min="6" max="6" width="62" hidden="0" customWidth="1"/>
    <x:col min="7" max="7" width="15" hidden="0" customWidth="1"/>
  </x:cols>
  <x:sheetData>
    <x:row r="1" ht="36" customHeight="1">
      <x:c r="A1" s="81" t="str">
        <x:v>Rule Area</x:v>
      </x:c>
      <x:c r="B1" s="81" t="str">
        <x:v>Priority</x:v>
      </x:c>
      <x:c r="C1" s="81" t="str">
        <x:v>Required Practice</x:v>
      </x:c>
      <x:c r="D1" s="81" t="str">
        <x:v>Prohibited / High-Risk Practice</x:v>
      </x:c>
      <x:c r="E1" s="81" t="str">
        <x:v>Implementation in CounterCrave</x:v>
      </x:c>
      <x:c r="F1" s="81" t="str">
        <x:v>Official Source URL</x:v>
      </x:c>
      <x:c r="G1" s="81" t="str">
        <x:v>Status</x:v>
      </x:c>
    </x:row>
    <x:row r="2">
      <x:c r="A2" s="97" t="str">
        <x:v>Associate identification</x:v>
      </x:c>
      <x:c r="B2" s="98" t="str">
        <x:v>P0</x:v>
      </x:c>
      <x:c r="C2" s="98" t="str">
        <x:v>Clearly and prominently state: “As an Amazon Associate I earn from qualifying purchases.”</x:v>
      </x:c>
      <x:c r="D2" s="98" t="str">
        <x:v>Hiding the disclosure or implying Amazon sponsors/endorses the site</x:v>
      </x:c>
      <x:c r="E2" s="98" t="str">
        <x:v>Footer statement + full disclosure page + inline link-level disclosure</x:v>
      </x:c>
      <x:c r="F2" s="98" t="str">
        <x:v>https://affiliate-program.amazon.com/help/operating/agreement</x:v>
      </x:c>
      <x:c r="G2" s="99" t="str">
        <x:v>Not Started</x:v>
      </x:c>
    </x:row>
    <x:row r="3">
      <x:c r="A3" s="100" t="str">
        <x:v>Original content</x:v>
      </x:c>
      <x:c r="B3" s="95" t="str">
        <x:v>P0</x:v>
      </x:c>
      <x:c r="C3" s="95" t="str">
        <x:v>Publish public, original content that adds commentary, analysis or transformation</x:v>
      </x:c>
      <x:c r="D3" s="95" t="str">
        <x:v>Thin AI pages, copied descriptions, scraped roundups</x:v>
      </x:c>
      <x:c r="E3" s="95" t="str">
        <x:v>Editorial QA requires unique analysis and evidence</x:v>
      </x:c>
      <x:c r="F3" s="95" t="str">
        <x:v>https://affiliate-program.amazon.com/help/operating/compare</x:v>
      </x:c>
      <x:c r="G3" s="101" t="str">
        <x:v>Not Started</x:v>
      </x:c>
    </x:row>
    <x:row r="4">
      <x:c r="A4" s="100" t="str">
        <x:v>Application sales threshold</x:v>
      </x:c>
      <x:c r="B4" s="95" t="str">
        <x:v>P0</x:v>
      </x:c>
      <x:c r="C4" s="95" t="str">
        <x:v>After applying, refer three qualifying sales within 180 days for evaluation</x:v>
      </x:c>
      <x:c r="D4" s="95" t="str">
        <x:v>Self-purchases or arranged purchases by friends/relatives</x:v>
      </x:c>
      <x:c r="E4" s="95" t="str">
        <x:v>Apply only after strong content; track qualifying sales separately</x:v>
      </x:c>
      <x:c r="F4" s="95" t="str">
        <x:v>https://affiliate-program.amazon.com/help/node/topic/G7MJTPEP9NC3YKMG</x:v>
      </x:c>
      <x:c r="G4" s="101" t="str">
        <x:v>Not Started</x:v>
      </x:c>
    </x:row>
    <x:row r="5">
      <x:c r="A5" s="100" t="str">
        <x:v>Self/friend purchases</x:v>
      </x:c>
      <x:c r="B5" s="95" t="str">
        <x:v>P0</x:v>
      </x:c>
      <x:c r="C5" s="95" t="str">
        <x:v>Generate purchases from genuine audience activity</x:v>
      </x:c>
      <x:c r="D5" s="95" t="str">
        <x:v>Buying through your own links or encouraging friends/relatives/employees to do it</x:v>
      </x:c>
      <x:c r="E5" s="95" t="str">
        <x:v>Internal SOP explicitly prohibits it</x:v>
      </x:c>
      <x:c r="F5" s="95" t="str">
        <x:v>https://affiliate-program.amazon.com/help/operating/linking</x:v>
      </x:c>
      <x:c r="G5" s="101" t="str">
        <x:v>Not Started</x:v>
      </x:c>
    </x:row>
    <x:row r="6">
      <x:c r="A6" s="100" t="str">
        <x:v>Special Links</x:v>
      </x:c>
      <x:c r="B6" s="95" t="str">
        <x:v>P0</x:v>
      </x:c>
      <x:c r="C6" s="95" t="str">
        <x:v>Use the correct Associate tag on authorized site locations</x:v>
      </x:c>
      <x:c r="D6" s="95" t="str">
        <x:v>Cloaking, manipulating or placing tagged links on undeclared/unauthorized sites</x:v>
      </x:c>
      <x:c r="E6" s="95" t="str">
        <x:v>Central AmazonLink component and registered site list</x:v>
      </x:c>
      <x:c r="F6" s="95" t="str">
        <x:v>https://affiliate-program.amazon.com/help/operating/policies</x:v>
      </x:c>
      <x:c r="G6" s="101" t="str">
        <x:v>Not Started</x:v>
      </x:c>
    </x:row>
    <x:row r="7">
      <x:c r="A7" s="100" t="str">
        <x:v>Paid advertising</x:v>
      </x:c>
      <x:c r="B7" s="95" t="str">
        <x:v>P0</x:v>
      </x:c>
      <x:c r="C7" s="95" t="str">
        <x:v>Review current policy before any paid acquisition; keep direct Amazon referral traffic organic by default</x:v>
      </x:c>
      <x:c r="D7" s="95" t="str">
        <x:v>Purchases referred through paid/boosted ads linking to Amazon may be disqualified under the 2026 update</x:v>
      </x:c>
      <x:c r="E7" s="95" t="str">
        <x:v>No paid or boosted ads that directly link to Amazon; send permitted traffic to useful site content only after policy review</x:v>
      </x:c>
      <x:c r="F7" s="95" t="str">
        <x:v>https://affiliate-program.amazon.com/help/operating/compare</x:v>
      </x:c>
      <x:c r="G7" s="101" t="str">
        <x:v>Not Started</x:v>
      </x:c>
    </x:row>
    <x:row r="8">
      <x:c r="A8" s="100" t="str">
        <x:v>Prices and availability</x:v>
      </x:c>
      <x:c r="B8" s="95" t="str">
        <x:v>P0</x:v>
      </x:c>
      <x:c r="C8" s="95" t="str">
        <x:v>Use accurate permitted pricing data or “Check price on Amazon”</x:v>
      </x:c>
      <x:c r="D8" s="95" t="str">
        <x:v>Stale hardcoded prices, false discounts, misleading availability</x:v>
      </x:c>
      <x:c r="E8" s="95" t="str">
        <x:v>No price field by default; API/permitted tools only</x:v>
      </x:c>
      <x:c r="F8" s="95" t="str">
        <x:v>https://affiliate-program.amazon.com/help/operating/policies</x:v>
      </x:c>
      <x:c r="G8" s="101" t="str">
        <x:v>Not Started</x:v>
      </x:c>
    </x:row>
    <x:row r="9">
      <x:c r="A9" s="100" t="str">
        <x:v>Amazon customer reviews/ratings</x:v>
      </x:c>
      <x:c r="B9" s="95" t="str">
        <x:v>P0</x:v>
      </x:c>
      <x:c r="C9" s="95" t="str">
        <x:v>Use only permitted Program Content through approved tools/API</x:v>
      </x:c>
      <x:c r="D9" s="95" t="str">
        <x:v>Copying Amazon customer reviews or star ratings</x:v>
      </x:c>
      <x:c r="E9" s="95" t="str">
        <x:v>CounterCrave editorial scores are clearly labelled and evidence-based</x:v>
      </x:c>
      <x:c r="F9" s="95" t="str">
        <x:v>https://affiliate-program.amazon.com/help/operating/linking</x:v>
      </x:c>
      <x:c r="G9" s="101" t="str">
        <x:v>Not Started</x:v>
      </x:c>
    </x:row>
    <x:row r="10">
      <x:c r="A10" s="100" t="str">
        <x:v>Product images/content</x:v>
      </x:c>
      <x:c r="B10" s="95" t="str">
        <x:v>P0</x:v>
      </x:c>
      <x:c r="C10" s="95" t="str">
        <x:v>Use original/licensed media or Amazon Program Content in permitted ways</x:v>
      </x:c>
      <x:c r="D10" s="95" t="str">
        <x:v>Downloading and rehosting Amazon assets without permission</x:v>
      </x:c>
      <x:c r="E10" s="95" t="str">
        <x:v>Asset provenance field in content data</x:v>
      </x:c>
      <x:c r="F10" s="95" t="str">
        <x:v>https://affiliate-program.amazon.com/help/operating/policies</x:v>
      </x:c>
      <x:c r="G10" s="101" t="str">
        <x:v>Not Started</x:v>
      </x:c>
    </x:row>
    <x:row r="11">
      <x:c r="A11" s="100" t="str">
        <x:v>Privacy and cookies</x:v>
      </x:c>
      <x:c r="B11" s="95" t="str">
        <x:v>P0</x:v>
      </x:c>
      <x:c r="C11" s="95" t="str">
        <x:v>Disclose cookies, pixels and third-party data practices as applicable</x:v>
      </x:c>
      <x:c r="D11" s="95" t="str">
        <x:v>Missing or inaccurate privacy information</x:v>
      </x:c>
      <x:c r="E11" s="95" t="str">
        <x:v>Privacy page + consent implementation where legally required</x:v>
      </x:c>
      <x:c r="F11" s="95" t="str">
        <x:v>https://affiliate-program.amazon.com/help/operating/policies</x:v>
      </x:c>
      <x:c r="G11" s="101" t="str">
        <x:v>Not Started</x:v>
      </x:c>
    </x:row>
    <x:row r="12">
      <x:c r="A12" s="100" t="str">
        <x:v>Account information</x:v>
      </x:c>
      <x:c r="B12" s="95" t="str">
        <x:v>P0</x:v>
      </x:c>
      <x:c r="C12" s="95" t="str">
        <x:v>Keep site, email, tax and payment information accurate</x:v>
      </x:c>
      <x:c r="D12" s="95" t="str">
        <x:v>Using an undeclared website or outdated account details</x:v>
      </x:c>
      <x:c r="E12" s="95" t="str">
        <x:v>Quarterly account-details check</x:v>
      </x:c>
      <x:c r="F12" s="95" t="str">
        <x:v>https://affiliate-program.amazon.com/help/operating/policies</x:v>
      </x:c>
      <x:c r="G12" s="101" t="str">
        <x:v>Not Started</x:v>
      </x:c>
    </x:row>
    <x:row r="13">
      <x:c r="A13" s="102" t="str">
        <x:v>Policy changes</x:v>
      </x:c>
      <x:c r="B13" s="103" t="str">
        <x:v>P1</x:v>
      </x:c>
      <x:c r="C13" s="103" t="str">
        <x:v>Review the current Operating Agreement and policy update page regularly</x:v>
      </x:c>
      <x:c r="D13" s="103" t="str">
        <x:v>Assuming the workbook permanently replaces Amazon policy</x:v>
      </x:c>
      <x:c r="E13" s="103" t="str">
        <x:v>Compliance review log and source sheet</x:v>
      </x:c>
      <x:c r="F13" s="103" t="str">
        <x:v>https://affiliate-program.amazon.com/help/operating/compare</x:v>
      </x:c>
      <x:c r="G13" s="104" t="str">
        <x:v>Not Started</x:v>
      </x:c>
    </x:row>
  </x:sheetData>
  <x:conditionalFormatting sqref="G2:G13">
    <x:cfRule type="expression" dxfId="24" priority="1">
      <x:formula>$G2="Published"</x:formula>
    </x:cfRule>
    <x:cfRule type="expression" dxfId="25" priority="2">
      <x:formula>$G2="Writing"</x:formula>
    </x:cfRule>
    <x:cfRule type="expression" dxfId="26" priority="3">
      <x:formula>$G2="Editing"</x:formula>
    </x:cfRule>
    <x:cfRule type="expression" dxfId="27" priority="4">
      <x:formula>$G2="Blocked"</x:formula>
    </x:cfRule>
  </x:conditionalFormatting>
  <x:dataValidations count="2">
    <x:dataValidation type="list" sqref="B2:B13">
      <x:formula1>"P0,P1,P2,P3,P4"</x:formula1>
    </x:dataValidation>
    <x:dataValidation type="list" sqref="G2:G13">
      <x:formula1>"Not Started,Brief Ready,Writing,Editing,Published,Refreshing,Blocked"</x:formula1>
    </x:dataValidation>
  </x:dataValidations>
  <x:pageMargins left="0.7" right="0.7" top="0.75" bottom="0.75" header="0.3" footer="0.3"/>
  <x:tableParts count="1">
    <x:tablePart xmlns:r="http://schemas.openxmlformats.org/officeDocument/2006/relationships" r:id="Raf331bb7238f41b3"/>
  </x:tableParts>
</x:worksheet>
</file>

<file path=xl/worksheets/sheet16.xml><?xml version="1.0" encoding="utf-8"?>
<x:worksheet xmlns:x="http://schemas.openxmlformats.org/spreadsheetml/2006/main">
  <x:sheetFormatPr defaultRowHeight="15"/>
  <x:cols>
    <x:col min="1" max="1" width="18" hidden="0" customWidth="1"/>
    <x:col min="2" max="2" width="9" hidden="0" customWidth="1"/>
    <x:col min="3" max="3" width="34" hidden="0" customWidth="1"/>
    <x:col min="4" max="4" width="68" hidden="0" customWidth="1"/>
    <x:col min="5" max="5" width="30" hidden="0" customWidth="1"/>
    <x:col min="6" max="6" width="22" hidden="0" customWidth="1"/>
    <x:col min="7" max="7" width="15" hidden="0" customWidth="1"/>
  </x:cols>
  <x:sheetData>
    <x:row r="1" ht="36" customHeight="1">
      <x:c r="A1" s="81" t="str">
        <x:v>QA Stage</x:v>
      </x:c>
      <x:c r="B1" s="81" t="str">
        <x:v>Priority</x:v>
      </x:c>
      <x:c r="C1" s="81" t="str">
        <x:v>Check</x:v>
      </x:c>
      <x:c r="D1" s="81" t="str">
        <x:v>Pass Criteria</x:v>
      </x:c>
      <x:c r="E1" s="81" t="str">
        <x:v>Applicable Page Types</x:v>
      </x:c>
      <x:c r="F1" s="81" t="str">
        <x:v>Owner</x:v>
      </x:c>
      <x:c r="G1" s="81" t="str">
        <x:v>Status</x:v>
      </x:c>
    </x:row>
    <x:row r="2">
      <x:c r="A2" s="97" t="str">
        <x:v>Brief</x:v>
      </x:c>
      <x:c r="B2" s="98" t="str">
        <x:v>P0</x:v>
      </x:c>
      <x:c r="C2" s="98" t="str">
        <x:v>Search intent verified</x:v>
      </x:c>
      <x:c r="D2" s="98" t="str">
        <x:v>Top results and search features confirm the page type and user need</x:v>
      </x:c>
      <x:c r="E2" s="98" t="str">
        <x:v>All</x:v>
      </x:c>
      <x:c r="F2" s="98" t="str">
        <x:v>SEO</x:v>
      </x:c>
      <x:c r="G2" s="99" t="str">
        <x:v>Not Started</x:v>
      </x:c>
    </x:row>
    <x:row r="3">
      <x:c r="A3" s="100" t="str">
        <x:v>Brief</x:v>
      </x:c>
      <x:c r="B3" s="95" t="str">
        <x:v>P0</x:v>
      </x:c>
      <x:c r="C3" s="95" t="str">
        <x:v>Cannibalization checked</x:v>
      </x:c>
      <x:c r="D3" s="95" t="str">
        <x:v>No existing page targets the same dominant intent</x:v>
      </x:c>
      <x:c r="E3" s="95" t="str">
        <x:v>All</x:v>
      </x:c>
      <x:c r="F3" s="95" t="str">
        <x:v>SEO</x:v>
      </x:c>
      <x:c r="G3" s="101" t="str">
        <x:v>Not Started</x:v>
      </x:c>
    </x:row>
    <x:row r="4">
      <x:c r="A4" s="100" t="str">
        <x:v>Brief</x:v>
      </x:c>
      <x:c r="B4" s="95" t="str">
        <x:v>P0</x:v>
      </x:c>
      <x:c r="C4" s="95" t="str">
        <x:v>Product availability checked</x:v>
      </x:c>
      <x:c r="D4" s="95" t="str">
        <x:v>Exact model/variant is current and available before model-specific content</x:v>
      </x:c>
      <x:c r="E4" s="95" t="str">
        <x:v>Review, Comparison, Roundup</x:v>
      </x:c>
      <x:c r="F4" s="95" t="str">
        <x:v>Research</x:v>
      </x:c>
      <x:c r="G4" s="101" t="str">
        <x:v>Not Started</x:v>
      </x:c>
    </x:row>
    <x:row r="5">
      <x:c r="A5" s="100" t="str">
        <x:v>Research</x:v>
      </x:c>
      <x:c r="B5" s="95" t="str">
        <x:v>P0</x:v>
      </x:c>
      <x:c r="C5" s="95" t="str">
        <x:v>Source quality</x:v>
      </x:c>
      <x:c r="D5" s="95" t="str">
        <x:v>Specifications and safety claims trace to manuals/manufacturers or reliable primary sources</x:v>
      </x:c>
      <x:c r="E5" s="95" t="str">
        <x:v>All</x:v>
      </x:c>
      <x:c r="F5" s="95" t="str">
        <x:v>Research</x:v>
      </x:c>
      <x:c r="G5" s="101" t="str">
        <x:v>Not Started</x:v>
      </x:c>
    </x:row>
    <x:row r="6">
      <x:c r="A6" s="100" t="str">
        <x:v>Research</x:v>
      </x:c>
      <x:c r="B6" s="95" t="str">
        <x:v>P0</x:v>
      </x:c>
      <x:c r="C6" s="95" t="str">
        <x:v>Hands-on claim honesty</x:v>
      </x:c>
      <x:c r="D6" s="95" t="str">
        <x:v>Hands-on language appears only when actual testing occurred</x:v>
      </x:c>
      <x:c r="E6" s="95" t="str">
        <x:v>Review, Roundup, Comparison</x:v>
      </x:c>
      <x:c r="F6" s="95" t="str">
        <x:v>Editor</x:v>
      </x:c>
      <x:c r="G6" s="101" t="str">
        <x:v>Not Started</x:v>
      </x:c>
    </x:row>
    <x:row r="7">
      <x:c r="A7" s="100" t="str">
        <x:v>Writing</x:v>
      </x:c>
      <x:c r="B7" s="95" t="str">
        <x:v>P1</x:v>
      </x:c>
      <x:c r="C7" s="95" t="str">
        <x:v>Direct answer</x:v>
      </x:c>
      <x:c r="D7" s="95" t="str">
        <x:v>Page answers the main query in the opening summary</x:v>
      </x:c>
      <x:c r="E7" s="95" t="str">
        <x:v>All</x:v>
      </x:c>
      <x:c r="F7" s="95" t="str">
        <x:v>Writer</x:v>
      </x:c>
      <x:c r="G7" s="101" t="str">
        <x:v>Not Started</x:v>
      </x:c>
    </x:row>
    <x:row r="8">
      <x:c r="A8" s="100" t="str">
        <x:v>Writing</x:v>
      </x:c>
      <x:c r="B8" s="95" t="str">
        <x:v>P1</x:v>
      </x:c>
      <x:c r="C8" s="95" t="str">
        <x:v>Unique value</x:v>
      </x:c>
      <x:c r="D8" s="95" t="str">
        <x:v>At least three useful insights, trade-offs, calculations, tests or decision rules go beyond generic summaries</x:v>
      </x:c>
      <x:c r="E8" s="95" t="str">
        <x:v>All</x:v>
      </x:c>
      <x:c r="F8" s="95" t="str">
        <x:v>Writer/Editor</x:v>
      </x:c>
      <x:c r="G8" s="101" t="str">
        <x:v>Not Started</x:v>
      </x:c>
    </x:row>
    <x:row r="9">
      <x:c r="A9" s="100" t="str">
        <x:v>Writing</x:v>
      </x:c>
      <x:c r="B9" s="95" t="str">
        <x:v>P1</x:v>
      </x:c>
      <x:c r="C9" s="95" t="str">
        <x:v>Product fit</x:v>
      </x:c>
      <x:c r="D9" s="95" t="str">
        <x:v>Every recommendation states buy-if and skip-if conditions</x:v>
      </x:c>
      <x:c r="E9" s="95" t="str">
        <x:v>Money pages</x:v>
      </x:c>
      <x:c r="F9" s="95" t="str">
        <x:v>Writer</x:v>
      </x:c>
      <x:c r="G9" s="101" t="str">
        <x:v>Not Started</x:v>
      </x:c>
    </x:row>
    <x:row r="10">
      <x:c r="A10" s="100" t="str">
        <x:v>Writing</x:v>
      </x:c>
      <x:c r="B10" s="95" t="str">
        <x:v>P1</x:v>
      </x:c>
      <x:c r="C10" s="95" t="str">
        <x:v>Negative findings</x:v>
      </x:c>
      <x:c r="D10" s="95" t="str">
        <x:v>Meaningful drawbacks are disclosed</x:v>
      </x:c>
      <x:c r="E10" s="95" t="str">
        <x:v>Money pages</x:v>
      </x:c>
      <x:c r="F10" s="95" t="str">
        <x:v>Writer</x:v>
      </x:c>
      <x:c r="G10" s="101" t="str">
        <x:v>Not Started</x:v>
      </x:c>
    </x:row>
    <x:row r="11">
      <x:c r="A11" s="100" t="str">
        <x:v>Writing</x:v>
      </x:c>
      <x:c r="B11" s="95" t="str">
        <x:v>P1</x:v>
      </x:c>
      <x:c r="C11" s="95" t="str">
        <x:v>No unsupported superlatives</x:v>
      </x:c>
      <x:c r="D11" s="95" t="str">
        <x:v>“Best,” “fastest,” “safest” and similar claims are supported or qualified</x:v>
      </x:c>
      <x:c r="E11" s="95" t="str">
        <x:v>All</x:v>
      </x:c>
      <x:c r="F11" s="95" t="str">
        <x:v>Editor</x:v>
      </x:c>
      <x:c r="G11" s="101" t="str">
        <x:v>Not Started</x:v>
      </x:c>
    </x:row>
    <x:row r="12">
      <x:c r="A12" s="100" t="str">
        <x:v>Editing</x:v>
      </x:c>
      <x:c r="B12" s="95" t="str">
        <x:v>P0</x:v>
      </x:c>
      <x:c r="C12" s="95" t="str">
        <x:v>Fact check</x:v>
      </x:c>
      <x:c r="D12" s="95" t="str">
        <x:v>Model names, capacity, wattage, dimensions, warranty and feature claims verified</x:v>
      </x:c>
      <x:c r="E12" s="95" t="str">
        <x:v>Money pages</x:v>
      </x:c>
      <x:c r="F12" s="95" t="str">
        <x:v>Editor</x:v>
      </x:c>
      <x:c r="G12" s="101" t="str">
        <x:v>Not Started</x:v>
      </x:c>
    </x:row>
    <x:row r="13">
      <x:c r="A13" s="100" t="str">
        <x:v>Editing</x:v>
      </x:c>
      <x:c r="B13" s="95" t="str">
        <x:v>P0</x:v>
      </x:c>
      <x:c r="C13" s="95" t="str">
        <x:v>Affiliate compliance</x:v>
      </x:c>
      <x:c r="D13" s="95" t="str">
        <x:v>Disclosure precedes links; no copied ratings/reviews; link tag and site authorization correct</x:v>
      </x:c>
      <x:c r="E13" s="95" t="str">
        <x:v>Monetized pages</x:v>
      </x:c>
      <x:c r="F13" s="95" t="str">
        <x:v>Editor/SEO</x:v>
      </x:c>
      <x:c r="G13" s="101" t="str">
        <x:v>Not Started</x:v>
      </x:c>
    </x:row>
    <x:row r="14">
      <x:c r="A14" s="100" t="str">
        <x:v>Editing</x:v>
      </x:c>
      <x:c r="B14" s="95" t="str">
        <x:v>P1</x:v>
      </x:c>
      <x:c r="C14" s="95" t="str">
        <x:v>Heading structure</x:v>
      </x:c>
      <x:c r="D14" s="95" t="str">
        <x:v>One H1; H2/H3 order matches page intent; no repetitive keyword headings</x:v>
      </x:c>
      <x:c r="E14" s="95" t="str">
        <x:v>All</x:v>
      </x:c>
      <x:c r="F14" s="95" t="str">
        <x:v>Editor</x:v>
      </x:c>
      <x:c r="G14" s="101" t="str">
        <x:v>Not Started</x:v>
      </x:c>
    </x:row>
    <x:row r="15">
      <x:c r="A15" s="100" t="str">
        <x:v>Editing</x:v>
      </x:c>
      <x:c r="B15" s="95" t="str">
        <x:v>P1</x:v>
      </x:c>
      <x:c r="C15" s="95" t="str">
        <x:v>Tables and units</x:v>
      </x:c>
      <x:c r="D15" s="95" t="str">
        <x:v>Tables include captions, headers, consistent units and source/checked date where relevant</x:v>
      </x:c>
      <x:c r="E15" s="95" t="str">
        <x:v>Money pages</x:v>
      </x:c>
      <x:c r="F15" s="95" t="str">
        <x:v>Editor</x:v>
      </x:c>
      <x:c r="G15" s="101" t="str">
        <x:v>Not Started</x:v>
      </x:c>
    </x:row>
    <x:row r="16">
      <x:c r="A16" s="100" t="str">
        <x:v>Editing</x:v>
      </x:c>
      <x:c r="B16" s="95" t="str">
        <x:v>P1</x:v>
      </x:c>
      <x:c r="C16" s="95" t="str">
        <x:v>Internal links</x:v>
      </x:c>
      <x:c r="D16" s="95" t="str">
        <x:v>Parent, sibling, guide and methodology links included naturally</x:v>
      </x:c>
      <x:c r="E16" s="95" t="str">
        <x:v>All</x:v>
      </x:c>
      <x:c r="F16" s="95" t="str">
        <x:v>SEO</x:v>
      </x:c>
      <x:c r="G16" s="101" t="str">
        <x:v>Not Started</x:v>
      </x:c>
    </x:row>
    <x:row r="17">
      <x:c r="A17" s="100" t="str">
        <x:v>SEO</x:v>
      </x:c>
      <x:c r="B17" s="95" t="str">
        <x:v>P0</x:v>
      </x:c>
      <x:c r="C17" s="95" t="str">
        <x:v>Metadata/canonical</x:v>
      </x:c>
      <x:c r="D17" s="95" t="str">
        <x:v>Unique title, description, canonical, OG image and index directive</x:v>
      </x:c>
      <x:c r="E17" s="95" t="str">
        <x:v>All</x:v>
      </x:c>
      <x:c r="F17" s="95" t="str">
        <x:v>SEO</x:v>
      </x:c>
      <x:c r="G17" s="101" t="str">
        <x:v>Not Started</x:v>
      </x:c>
    </x:row>
    <x:row r="18">
      <x:c r="A18" s="100" t="str">
        <x:v>SEO</x:v>
      </x:c>
      <x:c r="B18" s="95" t="str">
        <x:v>P1</x:v>
      </x:c>
      <x:c r="C18" s="95" t="str">
        <x:v>Structured data</x:v>
      </x:c>
      <x:c r="D18" s="95" t="str">
        <x:v>Schema matches visible content and has no critical errors</x:v>
      </x:c>
      <x:c r="E18" s="95" t="str">
        <x:v>Eligible pages</x:v>
      </x:c>
      <x:c r="F18" s="95" t="str">
        <x:v>SEO/Developer</x:v>
      </x:c>
      <x:c r="G18" s="101" t="str">
        <x:v>Not Started</x:v>
      </x:c>
    </x:row>
    <x:row r="19">
      <x:c r="A19" s="100" t="str">
        <x:v>Design</x:v>
      </x:c>
      <x:c r="B19" s="95" t="str">
        <x:v>P0</x:v>
      </x:c>
      <x:c r="C19" s="95" t="str">
        <x:v>Mobile experience</x:v>
      </x:c>
      <x:c r="D19" s="95" t="str">
        <x:v>Intro, table, images and CTAs are usable at 320px without overlap</x:v>
      </x:c>
      <x:c r="E19" s="95" t="str">
        <x:v>All</x:v>
      </x:c>
      <x:c r="F19" s="95" t="str">
        <x:v>Designer/Developer</x:v>
      </x:c>
      <x:c r="G19" s="101" t="str">
        <x:v>Not Started</x:v>
      </x:c>
    </x:row>
    <x:row r="20">
      <x:c r="A20" s="100" t="str">
        <x:v>Design</x:v>
      </x:c>
      <x:c r="B20" s="95" t="str">
        <x:v>P0</x:v>
      </x:c>
      <x:c r="C20" s="95" t="str">
        <x:v>Accessibility</x:v>
      </x:c>
      <x:c r="D20" s="95" t="str">
        <x:v>Keyboard, focus, contrast, alt text and semantic structure pass checks</x:v>
      </x:c>
      <x:c r="E20" s="95" t="str">
        <x:v>All</x:v>
      </x:c>
      <x:c r="F20" s="95" t="str">
        <x:v>Developer</x:v>
      </x:c>
      <x:c r="G20" s="101" t="str">
        <x:v>Not Started</x:v>
      </x:c>
    </x:row>
    <x:row r="21">
      <x:c r="A21" s="100" t="str">
        <x:v>Publish</x:v>
      </x:c>
      <x:c r="B21" s="95" t="str">
        <x:v>P0</x:v>
      </x:c>
      <x:c r="C21" s="95" t="str">
        <x:v>Build validation</x:v>
      </x:c>
      <x:c r="D21" s="95" t="str">
        <x:v>No broken links, missing images/frontmatter or build errors</x:v>
      </x:c>
      <x:c r="E21" s="95" t="str">
        <x:v>All</x:v>
      </x:c>
      <x:c r="F21" s="95" t="str">
        <x:v>Developer</x:v>
      </x:c>
      <x:c r="G21" s="101" t="str">
        <x:v>Not Started</x:v>
      </x:c>
    </x:row>
    <x:row r="22">
      <x:c r="A22" s="100" t="str">
        <x:v>Post-publish</x:v>
      </x:c>
      <x:c r="B22" s="95" t="str">
        <x:v>P1</x:v>
      </x:c>
      <x:c r="C22" s="95" t="str">
        <x:v>Indexing check</x:v>
      </x:c>
      <x:c r="D22" s="95" t="str">
        <x:v>URL is in sitemap and inspectable; no accidental noindex</x:v>
      </x:c>
      <x:c r="E22" s="95" t="str">
        <x:v>All</x:v>
      </x:c>
      <x:c r="F22" s="95" t="str">
        <x:v>SEO</x:v>
      </x:c>
      <x:c r="G22" s="101" t="str">
        <x:v>Not Started</x:v>
      </x:c>
    </x:row>
    <x:row r="23">
      <x:c r="A23" s="102" t="str">
        <x:v>Refresh</x:v>
      </x:c>
      <x:c r="B23" s="103" t="str">
        <x:v>P1</x:v>
      </x:c>
      <x:c r="C23" s="103" t="str">
        <x:v>Meaningful update</x:v>
      </x:c>
      <x:c r="D23" s="103" t="str">
        <x:v>Availability/spec/link changes checked; update date changes only when content changes</x:v>
      </x:c>
      <x:c r="E23" s="103" t="str">
        <x:v>Published pages</x:v>
      </x:c>
      <x:c r="F23" s="103" t="str">
        <x:v>Editor</x:v>
      </x:c>
      <x:c r="G23" s="104" t="str">
        <x:v>Not Started</x:v>
      </x:c>
    </x:row>
  </x:sheetData>
  <x:conditionalFormatting sqref="G2:G23">
    <x:cfRule type="expression" dxfId="28" priority="1">
      <x:formula>$G2="Published"</x:formula>
    </x:cfRule>
    <x:cfRule type="expression" dxfId="29" priority="2">
      <x:formula>$G2="Writing"</x:formula>
    </x:cfRule>
    <x:cfRule type="expression" dxfId="30" priority="3">
      <x:formula>$G2="Editing"</x:formula>
    </x:cfRule>
    <x:cfRule type="expression" dxfId="31" priority="4">
      <x:formula>$G2="Blocked"</x:formula>
    </x:cfRule>
  </x:conditionalFormatting>
  <x:dataValidations count="2">
    <x:dataValidation type="list" sqref="B2:B23">
      <x:formula1>"P0,P1,P2,P3,P4"</x:formula1>
    </x:dataValidation>
    <x:dataValidation type="list" sqref="G2:G23">
      <x:formula1>"Not Started,Brief Ready,Writing,Editing,Published,Refreshing,Blocked"</x:formula1>
    </x:dataValidation>
  </x:dataValidations>
  <x:pageMargins left="0.7" right="0.7" top="0.75" bottom="0.75" header="0.3" footer="0.3"/>
  <x:tableParts count="1">
    <x:tablePart xmlns:r="http://schemas.openxmlformats.org/officeDocument/2006/relationships" r:id="R2faf4d2dd4a5456f"/>
  </x:tableParts>
</x:worksheet>
</file>

<file path=xl/worksheets/sheet17.xml><?xml version="1.0" encoding="utf-8"?>
<x:worksheet xmlns:x="http://schemas.openxmlformats.org/spreadsheetml/2006/main">
  <x:sheetFormatPr defaultRowHeight="15"/>
  <x:cols>
    <x:col min="1" max="1" width="12" hidden="0" customWidth="1"/>
    <x:col min="2" max="2" width="12" hidden="0" customWidth="1"/>
    <x:col min="3" max="3" width="9" hidden="0" customWidth="1"/>
    <x:col min="4" max="4" width="18" hidden="0" customWidth="1"/>
    <x:col min="5" max="5" width="19" hidden="0" customWidth="1"/>
    <x:col min="6" max="6" width="50" hidden="0" customWidth="1"/>
    <x:col min="7" max="7" width="15" hidden="0" customWidth="1"/>
    <x:col min="8" max="8" width="18" hidden="0" customWidth="1"/>
    <x:col min="9" max="9" width="18" hidden="0" customWidth="1"/>
    <x:col min="10" max="10" width="45" hidden="0" customWidth="1"/>
    <x:col min="11" max="11" width="12" hidden="0" customWidth="1"/>
    <x:col min="12" max="12" width="20" hidden="0" customWidth="1"/>
    <x:col min="13" max="13" width="22" hidden="0" customWidth="1"/>
    <x:col min="14" max="14" width="45" hidden="0" customWidth="1"/>
  </x:cols>
  <x:sheetData>
    <x:row r="1" ht="36" customHeight="1">
      <x:c r="A1" s="81" t="str">
        <x:v>Execution Order</x:v>
      </x:c>
      <x:c r="B1" s="81" t="str">
        <x:v>Page ID</x:v>
      </x:c>
      <x:c r="C1" s="81" t="str">
        <x:v>Priority</x:v>
      </x:c>
      <x:c r="D1" s="81" t="str">
        <x:v>Cluster</x:v>
      </x:c>
      <x:c r="E1" s="81" t="str">
        <x:v>Page Type</x:v>
      </x:c>
      <x:c r="F1" s="81" t="str">
        <x:v>Page Title</x:v>
      </x:c>
      <x:c r="G1" s="81" t="str">
        <x:v>Status</x:v>
      </x:c>
      <x:c r="H1" s="81" t="str">
        <x:v>Writer</x:v>
      </x:c>
      <x:c r="I1" s="81" t="str">
        <x:v>Editor</x:v>
      </x:c>
      <x:c r="J1" s="81" t="str">
        <x:v>Live URL</x:v>
      </x:c>
      <x:c r="K1" s="81" t="str">
        <x:v>Indexed</x:v>
      </x:c>
      <x:c r="L1" s="81" t="str">
        <x:v>Amazon Links Added</x:v>
      </x:c>
      <x:c r="M1" s="81" t="str">
        <x:v>Last Meaningful Update</x:v>
      </x:c>
      <x:c r="N1" s="81" t="str">
        <x:v>Notes</x:v>
      </x:c>
    </x:row>
    <x:row r="2">
      <x:c r="A2" s="97" t="n">
        <x:v>1</x:v>
      </x:c>
      <x:c r="B2" s="98" t="str">
        <x:v>AF-HUB</x:v>
      </x:c>
      <x:c r="C2" s="98" t="str">
        <x:v>P1</x:v>
      </x:c>
      <x:c r="D2" s="98" t="str">
        <x:v>Air Fryers</x:v>
      </x:c>
      <x:c r="E2" s="98" t="str">
        <x:v>Category Hub</x:v>
      </x:c>
      <x:c r="F2" s="98" t="str">
        <x:v>Air Fryer Reviews, Comparisons and Buying Guides</x:v>
      </x:c>
      <x:c r="G2" s="98" t="str">
        <x:v>Not Started</x:v>
      </x:c>
      <x:c r="H2" s="98" t="str"/>
      <x:c r="I2" s="98" t="str"/>
      <x:c r="J2" s="98" t="str"/>
      <x:c r="K2" s="98" t="str">
        <x:v>No</x:v>
      </x:c>
      <x:c r="L2" s="98" t="str">
        <x:v>No</x:v>
      </x:c>
      <x:c r="M2" s="113" t="str"/>
      <x:c r="N2" s="99" t="str"/>
    </x:row>
    <x:row r="3">
      <x:c r="A3" s="100" t="n">
        <x:v>2</x:v>
      </x:c>
      <x:c r="B3" s="95" t="str">
        <x:v>BL-HUB</x:v>
      </x:c>
      <x:c r="C3" s="95" t="str">
        <x:v>P1</x:v>
      </x:c>
      <x:c r="D3" s="95" t="str">
        <x:v>Blenders</x:v>
      </x:c>
      <x:c r="E3" s="95" t="str">
        <x:v>Category Hub</x:v>
      </x:c>
      <x:c r="F3" s="95" t="str">
        <x:v>Blender Reviews, Comparisons and Buying Guides</x:v>
      </x:c>
      <x:c r="G3" s="95" t="str">
        <x:v>Not Started</x:v>
      </x:c>
      <x:c r="H3" s="95" t="str"/>
      <x:c r="I3" s="95" t="str"/>
      <x:c r="J3" s="95" t="str"/>
      <x:c r="K3" s="95" t="str">
        <x:v>No</x:v>
      </x:c>
      <x:c r="L3" s="95" t="str">
        <x:v>No</x:v>
      </x:c>
      <x:c r="M3" s="114" t="str"/>
      <x:c r="N3" s="101" t="str"/>
    </x:row>
    <x:row r="4">
      <x:c r="A4" s="100" t="n">
        <x:v>3</x:v>
      </x:c>
      <x:c r="B4" s="95" t="str">
        <x:v>AF-PIL</x:v>
      </x:c>
      <x:c r="C4" s="95" t="str">
        <x:v>P1</x:v>
      </x:c>
      <x:c r="D4" s="95" t="str">
        <x:v>Air Fryers</x:v>
      </x:c>
      <x:c r="E4" s="95" t="str">
        <x:v>Commercial Pillar</x:v>
      </x:c>
      <x:c r="F4" s="95" t="str">
        <x:v>Best Air Fryers for Every Kitchen and Budget</x:v>
      </x:c>
      <x:c r="G4" s="95" t="str">
        <x:v>Not Started</x:v>
      </x:c>
      <x:c r="H4" s="95" t="str"/>
      <x:c r="I4" s="95" t="str"/>
      <x:c r="J4" s="95" t="str"/>
      <x:c r="K4" s="95" t="str">
        <x:v>No</x:v>
      </x:c>
      <x:c r="L4" s="95" t="str">
        <x:v>No</x:v>
      </x:c>
      <x:c r="M4" s="114" t="str"/>
      <x:c r="N4" s="101" t="str"/>
    </x:row>
    <x:row r="5">
      <x:c r="A5" s="100" t="n">
        <x:v>4</x:v>
      </x:c>
      <x:c r="B5" s="95" t="str">
        <x:v>BL-PIL</x:v>
      </x:c>
      <x:c r="C5" s="95" t="str">
        <x:v>P1</x:v>
      </x:c>
      <x:c r="D5" s="95" t="str">
        <x:v>Blenders</x:v>
      </x:c>
      <x:c r="E5" s="95" t="str">
        <x:v>Commercial Pillar</x:v>
      </x:c>
      <x:c r="F5" s="95" t="str">
        <x:v>Best Blenders for Smoothies, Ice and Everyday Use</x:v>
      </x:c>
      <x:c r="G5" s="95" t="str">
        <x:v>Not Started</x:v>
      </x:c>
      <x:c r="H5" s="95" t="str"/>
      <x:c r="I5" s="95" t="str"/>
      <x:c r="J5" s="95" t="str"/>
      <x:c r="K5" s="95" t="str">
        <x:v>No</x:v>
      </x:c>
      <x:c r="L5" s="95" t="str">
        <x:v>No</x:v>
      </x:c>
      <x:c r="M5" s="114" t="str"/>
      <x:c r="N5" s="101" t="str"/>
    </x:row>
    <x:row r="6">
      <x:c r="A6" s="100" t="n">
        <x:v>5</x:v>
      </x:c>
      <x:c r="B6" s="95" t="str">
        <x:v>AF-R01</x:v>
      </x:c>
      <x:c r="C6" s="95" t="str">
        <x:v>P1</x:v>
      </x:c>
      <x:c r="D6" s="95" t="str">
        <x:v>Air Fryers</x:v>
      </x:c>
      <x:c r="E6" s="95" t="str">
        <x:v>Roundup</x:v>
      </x:c>
      <x:c r="F6" s="95" t="str">
        <x:v>Best Air Fryers Under $100</x:v>
      </x:c>
      <x:c r="G6" s="95" t="str">
        <x:v>Not Started</x:v>
      </x:c>
      <x:c r="H6" s="95" t="str"/>
      <x:c r="I6" s="95" t="str"/>
      <x:c r="J6" s="95" t="str"/>
      <x:c r="K6" s="95" t="str">
        <x:v>No</x:v>
      </x:c>
      <x:c r="L6" s="95" t="str">
        <x:v>No</x:v>
      </x:c>
      <x:c r="M6" s="114" t="str"/>
      <x:c r="N6" s="101" t="str"/>
    </x:row>
    <x:row r="7">
      <x:c r="A7" s="100" t="n">
        <x:v>6</x:v>
      </x:c>
      <x:c r="B7" s="95" t="str">
        <x:v>AF-R02</x:v>
      </x:c>
      <x:c r="C7" s="95" t="str">
        <x:v>P1</x:v>
      </x:c>
      <x:c r="D7" s="95" t="str">
        <x:v>Air Fryers</x:v>
      </x:c>
      <x:c r="E7" s="95" t="str">
        <x:v>Roundup</x:v>
      </x:c>
      <x:c r="F7" s="95" t="str">
        <x:v>Best Air Fryers Under $150</x:v>
      </x:c>
      <x:c r="G7" s="95" t="str">
        <x:v>Not Started</x:v>
      </x:c>
      <x:c r="H7" s="95" t="str"/>
      <x:c r="I7" s="95" t="str"/>
      <x:c r="J7" s="95" t="str"/>
      <x:c r="K7" s="95" t="str">
        <x:v>No</x:v>
      </x:c>
      <x:c r="L7" s="95" t="str">
        <x:v>No</x:v>
      </x:c>
      <x:c r="M7" s="114" t="str"/>
      <x:c r="N7" s="101" t="str"/>
    </x:row>
    <x:row r="8">
      <x:c r="A8" s="100" t="n">
        <x:v>7</x:v>
      </x:c>
      <x:c r="B8" s="95" t="str">
        <x:v>AF-R03</x:v>
      </x:c>
      <x:c r="C8" s="95" t="str">
        <x:v>P1</x:v>
      </x:c>
      <x:c r="D8" s="95" t="str">
        <x:v>Air Fryers</x:v>
      </x:c>
      <x:c r="E8" s="95" t="str">
        <x:v>Roundup</x:v>
      </x:c>
      <x:c r="F8" s="95" t="str">
        <x:v>Best Air Fryer for One Person</x:v>
      </x:c>
      <x:c r="G8" s="95" t="str">
        <x:v>Not Started</x:v>
      </x:c>
      <x:c r="H8" s="95" t="str"/>
      <x:c r="I8" s="95" t="str"/>
      <x:c r="J8" s="95" t="str"/>
      <x:c r="K8" s="95" t="str">
        <x:v>No</x:v>
      </x:c>
      <x:c r="L8" s="95" t="str">
        <x:v>No</x:v>
      </x:c>
      <x:c r="M8" s="114" t="str"/>
      <x:c r="N8" s="101" t="str"/>
    </x:row>
    <x:row r="9">
      <x:c r="A9" s="100" t="n">
        <x:v>8</x:v>
      </x:c>
      <x:c r="B9" s="95" t="str">
        <x:v>AF-R04</x:v>
      </x:c>
      <x:c r="C9" s="95" t="str">
        <x:v>P1</x:v>
      </x:c>
      <x:c r="D9" s="95" t="str">
        <x:v>Air Fryers</x:v>
      </x:c>
      <x:c r="E9" s="95" t="str">
        <x:v>Roundup</x:v>
      </x:c>
      <x:c r="F9" s="95" t="str">
        <x:v>Best Air Fryer for 2 People</x:v>
      </x:c>
      <x:c r="G9" s="95" t="str">
        <x:v>Not Started</x:v>
      </x:c>
      <x:c r="H9" s="95" t="str"/>
      <x:c r="I9" s="95" t="str"/>
      <x:c r="J9" s="95" t="str"/>
      <x:c r="K9" s="95" t="str">
        <x:v>No</x:v>
      </x:c>
      <x:c r="L9" s="95" t="str">
        <x:v>No</x:v>
      </x:c>
      <x:c r="M9" s="114" t="str"/>
      <x:c r="N9" s="101" t="str"/>
    </x:row>
    <x:row r="10">
      <x:c r="A10" s="100" t="n">
        <x:v>9</x:v>
      </x:c>
      <x:c r="B10" s="95" t="str">
        <x:v>AF-R05</x:v>
      </x:c>
      <x:c r="C10" s="95" t="str">
        <x:v>P1</x:v>
      </x:c>
      <x:c r="D10" s="95" t="str">
        <x:v>Air Fryers</x:v>
      </x:c>
      <x:c r="E10" s="95" t="str">
        <x:v>Roundup</x:v>
      </x:c>
      <x:c r="F10" s="95" t="str">
        <x:v>Best Air Fryer for a Family of 4</x:v>
      </x:c>
      <x:c r="G10" s="95" t="str">
        <x:v>Not Started</x:v>
      </x:c>
      <x:c r="H10" s="95" t="str"/>
      <x:c r="I10" s="95" t="str"/>
      <x:c r="J10" s="95" t="str"/>
      <x:c r="K10" s="95" t="str">
        <x:v>No</x:v>
      </x:c>
      <x:c r="L10" s="95" t="str">
        <x:v>No</x:v>
      </x:c>
      <x:c r="M10" s="114" t="str"/>
      <x:c r="N10" s="101" t="str"/>
    </x:row>
    <x:row r="11">
      <x:c r="A11" s="100" t="n">
        <x:v>10</x:v>
      </x:c>
      <x:c r="B11" s="95" t="str">
        <x:v>AF-R06</x:v>
      </x:c>
      <x:c r="C11" s="95" t="str">
        <x:v>P1</x:v>
      </x:c>
      <x:c r="D11" s="95" t="str">
        <x:v>Air Fryers</x:v>
      </x:c>
      <x:c r="E11" s="95" t="str">
        <x:v>Roundup</x:v>
      </x:c>
      <x:c r="F11" s="95" t="str">
        <x:v>Best Large Air Fryers for Big Families</x:v>
      </x:c>
      <x:c r="G11" s="95" t="str">
        <x:v>Not Started</x:v>
      </x:c>
      <x:c r="H11" s="95" t="str"/>
      <x:c r="I11" s="95" t="str"/>
      <x:c r="J11" s="95" t="str"/>
      <x:c r="K11" s="95" t="str">
        <x:v>No</x:v>
      </x:c>
      <x:c r="L11" s="95" t="str">
        <x:v>No</x:v>
      </x:c>
      <x:c r="M11" s="114" t="str"/>
      <x:c r="N11" s="101" t="str"/>
    </x:row>
    <x:row r="12">
      <x:c r="A12" s="100" t="n">
        <x:v>11</x:v>
      </x:c>
      <x:c r="B12" s="95" t="str">
        <x:v>AF-R07</x:v>
      </x:c>
      <x:c r="C12" s="95" t="str">
        <x:v>P1</x:v>
      </x:c>
      <x:c r="D12" s="95" t="str">
        <x:v>Air Fryers</x:v>
      </x:c>
      <x:c r="E12" s="95" t="str">
        <x:v>Roundup</x:v>
      </x:c>
      <x:c r="F12" s="95" t="str">
        <x:v>Best Compact Air Fryers for Small Kitchens</x:v>
      </x:c>
      <x:c r="G12" s="95" t="str">
        <x:v>Not Started</x:v>
      </x:c>
      <x:c r="H12" s="95" t="str"/>
      <x:c r="I12" s="95" t="str"/>
      <x:c r="J12" s="95" t="str"/>
      <x:c r="K12" s="95" t="str">
        <x:v>No</x:v>
      </x:c>
      <x:c r="L12" s="95" t="str">
        <x:v>No</x:v>
      </x:c>
      <x:c r="M12" s="114" t="str"/>
      <x:c r="N12" s="101" t="str"/>
    </x:row>
    <x:row r="13">
      <x:c r="A13" s="100" t="n">
        <x:v>12</x:v>
      </x:c>
      <x:c r="B13" s="95" t="str">
        <x:v>AF-R11</x:v>
      </x:c>
      <x:c r="C13" s="95" t="str">
        <x:v>P1</x:v>
      </x:c>
      <x:c r="D13" s="95" t="str">
        <x:v>Air Fryers</x:v>
      </x:c>
      <x:c r="E13" s="95" t="str">
        <x:v>Roundup</x:v>
      </x:c>
      <x:c r="F13" s="95" t="str">
        <x:v>Best Dual-Basket Air Fryers</x:v>
      </x:c>
      <x:c r="G13" s="95" t="str">
        <x:v>Not Started</x:v>
      </x:c>
      <x:c r="H13" s="95" t="str"/>
      <x:c r="I13" s="95" t="str"/>
      <x:c r="J13" s="95" t="str"/>
      <x:c r="K13" s="95" t="str">
        <x:v>No</x:v>
      </x:c>
      <x:c r="L13" s="95" t="str">
        <x:v>No</x:v>
      </x:c>
      <x:c r="M13" s="114" t="str"/>
      <x:c r="N13" s="101" t="str"/>
    </x:row>
    <x:row r="14">
      <x:c r="A14" s="100" t="n">
        <x:v>13</x:v>
      </x:c>
      <x:c r="B14" s="95" t="str">
        <x:v>AF-R12</x:v>
      </x:c>
      <x:c r="C14" s="95" t="str">
        <x:v>P1</x:v>
      </x:c>
      <x:c r="D14" s="95" t="str">
        <x:v>Air Fryers</x:v>
      </x:c>
      <x:c r="E14" s="95" t="str">
        <x:v>Roundup</x:v>
      </x:c>
      <x:c r="F14" s="95" t="str">
        <x:v>Best Air Fryer Toaster Oven Combos</x:v>
      </x:c>
      <x:c r="G14" s="95" t="str">
        <x:v>Not Started</x:v>
      </x:c>
      <x:c r="H14" s="95" t="str"/>
      <x:c r="I14" s="95" t="str"/>
      <x:c r="J14" s="95" t="str"/>
      <x:c r="K14" s="95" t="str">
        <x:v>No</x:v>
      </x:c>
      <x:c r="L14" s="95" t="str">
        <x:v>No</x:v>
      </x:c>
      <x:c r="M14" s="114" t="str"/>
      <x:c r="N14" s="101" t="str"/>
    </x:row>
    <x:row r="15">
      <x:c r="A15" s="100" t="n">
        <x:v>14</x:v>
      </x:c>
      <x:c r="B15" s="95" t="str">
        <x:v>BL-R01</x:v>
      </x:c>
      <x:c r="C15" s="95" t="str">
        <x:v>P1</x:v>
      </x:c>
      <x:c r="D15" s="95" t="str">
        <x:v>Blenders</x:v>
      </x:c>
      <x:c r="E15" s="95" t="str">
        <x:v>Roundup</x:v>
      </x:c>
      <x:c r="F15" s="95" t="str">
        <x:v>Best Blenders Under $100</x:v>
      </x:c>
      <x:c r="G15" s="95" t="str">
        <x:v>Not Started</x:v>
      </x:c>
      <x:c r="H15" s="95" t="str"/>
      <x:c r="I15" s="95" t="str"/>
      <x:c r="J15" s="95" t="str"/>
      <x:c r="K15" s="95" t="str">
        <x:v>No</x:v>
      </x:c>
      <x:c r="L15" s="95" t="str">
        <x:v>No</x:v>
      </x:c>
      <x:c r="M15" s="114" t="str"/>
      <x:c r="N15" s="101" t="str"/>
    </x:row>
    <x:row r="16">
      <x:c r="A16" s="100" t="n">
        <x:v>15</x:v>
      </x:c>
      <x:c r="B16" s="95" t="str">
        <x:v>BL-R03</x:v>
      </x:c>
      <x:c r="C16" s="95" t="str">
        <x:v>P1</x:v>
      </x:c>
      <x:c r="D16" s="95" t="str">
        <x:v>Blenders</x:v>
      </x:c>
      <x:c r="E16" s="95" t="str">
        <x:v>Roundup</x:v>
      </x:c>
      <x:c r="F16" s="95" t="str">
        <x:v>Best Personal Blenders</x:v>
      </x:c>
      <x:c r="G16" s="95" t="str">
        <x:v>Not Started</x:v>
      </x:c>
      <x:c r="H16" s="95" t="str"/>
      <x:c r="I16" s="95" t="str"/>
      <x:c r="J16" s="95" t="str"/>
      <x:c r="K16" s="95" t="str">
        <x:v>No</x:v>
      </x:c>
      <x:c r="L16" s="95" t="str">
        <x:v>No</x:v>
      </x:c>
      <x:c r="M16" s="114" t="str"/>
      <x:c r="N16" s="101" t="str"/>
    </x:row>
    <x:row r="17">
      <x:c r="A17" s="100" t="n">
        <x:v>16</x:v>
      </x:c>
      <x:c r="B17" s="95" t="str">
        <x:v>BL-R04</x:v>
      </x:c>
      <x:c r="C17" s="95" t="str">
        <x:v>P1</x:v>
      </x:c>
      <x:c r="D17" s="95" t="str">
        <x:v>Blenders</x:v>
      </x:c>
      <x:c r="E17" s="95" t="str">
        <x:v>Roundup</x:v>
      </x:c>
      <x:c r="F17" s="95" t="str">
        <x:v>Best Blenders for Smoothies</x:v>
      </x:c>
      <x:c r="G17" s="95" t="str">
        <x:v>Not Started</x:v>
      </x:c>
      <x:c r="H17" s="95" t="str"/>
      <x:c r="I17" s="95" t="str"/>
      <x:c r="J17" s="95" t="str"/>
      <x:c r="K17" s="95" t="str">
        <x:v>No</x:v>
      </x:c>
      <x:c r="L17" s="95" t="str">
        <x:v>No</x:v>
      </x:c>
      <x:c r="M17" s="114" t="str"/>
      <x:c r="N17" s="101" t="str"/>
    </x:row>
    <x:row r="18">
      <x:c r="A18" s="100" t="n">
        <x:v>17</x:v>
      </x:c>
      <x:c r="B18" s="95" t="str">
        <x:v>BL-R05</x:v>
      </x:c>
      <x:c r="C18" s="95" t="str">
        <x:v>P1</x:v>
      </x:c>
      <x:c r="D18" s="95" t="str">
        <x:v>Blenders</x:v>
      </x:c>
      <x:c r="E18" s="95" t="str">
        <x:v>Roundup</x:v>
      </x:c>
      <x:c r="F18" s="95" t="str">
        <x:v>Best Blenders for Frozen Fruit</x:v>
      </x:c>
      <x:c r="G18" s="95" t="str">
        <x:v>Not Started</x:v>
      </x:c>
      <x:c r="H18" s="95" t="str"/>
      <x:c r="I18" s="95" t="str"/>
      <x:c r="J18" s="95" t="str"/>
      <x:c r="K18" s="95" t="str">
        <x:v>No</x:v>
      </x:c>
      <x:c r="L18" s="95" t="str">
        <x:v>No</x:v>
      </x:c>
      <x:c r="M18" s="114" t="str"/>
      <x:c r="N18" s="101" t="str"/>
    </x:row>
    <x:row r="19">
      <x:c r="A19" s="100" t="n">
        <x:v>18</x:v>
      </x:c>
      <x:c r="B19" s="95" t="str">
        <x:v>BL-R06</x:v>
      </x:c>
      <x:c r="C19" s="95" t="str">
        <x:v>P1</x:v>
      </x:c>
      <x:c r="D19" s="95" t="str">
        <x:v>Blenders</x:v>
      </x:c>
      <x:c r="E19" s="95" t="str">
        <x:v>Roundup</x:v>
      </x:c>
      <x:c r="F19" s="95" t="str">
        <x:v>Best Blenders for Crushing Ice</x:v>
      </x:c>
      <x:c r="G19" s="95" t="str">
        <x:v>Not Started</x:v>
      </x:c>
      <x:c r="H19" s="95" t="str"/>
      <x:c r="I19" s="95" t="str"/>
      <x:c r="J19" s="95" t="str"/>
      <x:c r="K19" s="95" t="str">
        <x:v>No</x:v>
      </x:c>
      <x:c r="L19" s="95" t="str">
        <x:v>No</x:v>
      </x:c>
      <x:c r="M19" s="114" t="str"/>
      <x:c r="N19" s="101" t="str"/>
    </x:row>
    <x:row r="20">
      <x:c r="A20" s="100" t="n">
        <x:v>19</x:v>
      </x:c>
      <x:c r="B20" s="95" t="str">
        <x:v>AF-C01</x:v>
      </x:c>
      <x:c r="C20" s="95" t="str">
        <x:v>P1</x:v>
      </x:c>
      <x:c r="D20" s="95" t="str">
        <x:v>Air Fryers</x:v>
      </x:c>
      <x:c r="E20" s="95" t="str">
        <x:v>Comparison</x:v>
      </x:c>
      <x:c r="F20" s="95" t="str">
        <x:v>Ninja vs Cosori Air Fryer</x:v>
      </x:c>
      <x:c r="G20" s="95" t="str">
        <x:v>Not Started</x:v>
      </x:c>
      <x:c r="H20" s="95" t="str"/>
      <x:c r="I20" s="95" t="str"/>
      <x:c r="J20" s="95" t="str"/>
      <x:c r="K20" s="95" t="str">
        <x:v>No</x:v>
      </x:c>
      <x:c r="L20" s="95" t="str">
        <x:v>No</x:v>
      </x:c>
      <x:c r="M20" s="114" t="str"/>
      <x:c r="N20" s="101" t="str"/>
    </x:row>
    <x:row r="21">
      <x:c r="A21" s="100" t="n">
        <x:v>20</x:v>
      </x:c>
      <x:c r="B21" s="95" t="str">
        <x:v>AF-C03</x:v>
      </x:c>
      <x:c r="C21" s="95" t="str">
        <x:v>P1</x:v>
      </x:c>
      <x:c r="D21" s="95" t="str">
        <x:v>Air Fryers</x:v>
      </x:c>
      <x:c r="E21" s="95" t="str">
        <x:v>Comparison</x:v>
      </x:c>
      <x:c r="F21" s="95" t="str">
        <x:v>Basket Air Fryer vs Oven Air Fryer</x:v>
      </x:c>
      <x:c r="G21" s="95" t="str">
        <x:v>Not Started</x:v>
      </x:c>
      <x:c r="H21" s="95" t="str"/>
      <x:c r="I21" s="95" t="str"/>
      <x:c r="J21" s="95" t="str"/>
      <x:c r="K21" s="95" t="str">
        <x:v>No</x:v>
      </x:c>
      <x:c r="L21" s="95" t="str">
        <x:v>No</x:v>
      </x:c>
      <x:c r="M21" s="114" t="str"/>
      <x:c r="N21" s="101" t="str"/>
    </x:row>
    <x:row r="22">
      <x:c r="A22" s="100" t="n">
        <x:v>21</x:v>
      </x:c>
      <x:c r="B22" s="95" t="str">
        <x:v>BL-C01</x:v>
      </x:c>
      <x:c r="C22" s="95" t="str">
        <x:v>P1</x:v>
      </x:c>
      <x:c r="D22" s="95" t="str">
        <x:v>Blenders</x:v>
      </x:c>
      <x:c r="E22" s="95" t="str">
        <x:v>Comparison</x:v>
      </x:c>
      <x:c r="F22" s="95" t="str">
        <x:v>Vitamix vs Ninja Blender</x:v>
      </x:c>
      <x:c r="G22" s="95" t="str">
        <x:v>Not Started</x:v>
      </x:c>
      <x:c r="H22" s="95" t="str"/>
      <x:c r="I22" s="95" t="str"/>
      <x:c r="J22" s="95" t="str"/>
      <x:c r="K22" s="95" t="str">
        <x:v>No</x:v>
      </x:c>
      <x:c r="L22" s="95" t="str">
        <x:v>No</x:v>
      </x:c>
      <x:c r="M22" s="114" t="str"/>
      <x:c r="N22" s="101" t="str"/>
    </x:row>
    <x:row r="23">
      <x:c r="A23" s="100" t="n">
        <x:v>22</x:v>
      </x:c>
      <x:c r="B23" s="95" t="str">
        <x:v>BL-C02</x:v>
      </x:c>
      <x:c r="C23" s="95" t="str">
        <x:v>P1</x:v>
      </x:c>
      <x:c r="D23" s="95" t="str">
        <x:v>Blenders</x:v>
      </x:c>
      <x:c r="E23" s="95" t="str">
        <x:v>Comparison</x:v>
      </x:c>
      <x:c r="F23" s="95" t="str">
        <x:v>Ninja vs NutriBullet Blender</x:v>
      </x:c>
      <x:c r="G23" s="95" t="str">
        <x:v>Not Started</x:v>
      </x:c>
      <x:c r="H23" s="95" t="str"/>
      <x:c r="I23" s="95" t="str"/>
      <x:c r="J23" s="95" t="str"/>
      <x:c r="K23" s="95" t="str">
        <x:v>No</x:v>
      </x:c>
      <x:c r="L23" s="95" t="str">
        <x:v>No</x:v>
      </x:c>
      <x:c r="M23" s="114" t="str"/>
      <x:c r="N23" s="101" t="str"/>
    </x:row>
    <x:row r="24">
      <x:c r="A24" s="100" t="n">
        <x:v>23</x:v>
      </x:c>
      <x:c r="B24" s="95" t="str">
        <x:v>BL-C06</x:v>
      </x:c>
      <x:c r="C24" s="95" t="str">
        <x:v>P1</x:v>
      </x:c>
      <x:c r="D24" s="95" t="str">
        <x:v>Blenders</x:v>
      </x:c>
      <x:c r="E24" s="95" t="str">
        <x:v>Comparison</x:v>
      </x:c>
      <x:c r="F24" s="95" t="str">
        <x:v>Blender vs Food Processor</x:v>
      </x:c>
      <x:c r="G24" s="95" t="str">
        <x:v>Not Started</x:v>
      </x:c>
      <x:c r="H24" s="95" t="str"/>
      <x:c r="I24" s="95" t="str"/>
      <x:c r="J24" s="95" t="str"/>
      <x:c r="K24" s="95" t="str">
        <x:v>No</x:v>
      </x:c>
      <x:c r="L24" s="95" t="str">
        <x:v>No</x:v>
      </x:c>
      <x:c r="M24" s="114" t="str"/>
      <x:c r="N24" s="101" t="str"/>
    </x:row>
    <x:row r="25">
      <x:c r="A25" s="100" t="n">
        <x:v>24</x:v>
      </x:c>
      <x:c r="B25" s="95" t="str">
        <x:v>AF-V01</x:v>
      </x:c>
      <x:c r="C25" s="95" t="str">
        <x:v>P1</x:v>
      </x:c>
      <x:c r="D25" s="95" t="str">
        <x:v>Air Fryers</x:v>
      </x:c>
      <x:c r="E25" s="95" t="str">
        <x:v>Single Review</x:v>
      </x:c>
      <x:c r="F25" s="95" t="str">
        <x:v>Ninja Air Fryer Pro Review</x:v>
      </x:c>
      <x:c r="G25" s="95" t="str">
        <x:v>Not Started</x:v>
      </x:c>
      <x:c r="H25" s="95" t="str"/>
      <x:c r="I25" s="95" t="str"/>
      <x:c r="J25" s="95" t="str"/>
      <x:c r="K25" s="95" t="str">
        <x:v>No</x:v>
      </x:c>
      <x:c r="L25" s="95" t="str">
        <x:v>No</x:v>
      </x:c>
      <x:c r="M25" s="114" t="str"/>
      <x:c r="N25" s="101" t="str"/>
    </x:row>
    <x:row r="26">
      <x:c r="A26" s="100" t="n">
        <x:v>25</x:v>
      </x:c>
      <x:c r="B26" s="95" t="str">
        <x:v>AF-V02</x:v>
      </x:c>
      <x:c r="C26" s="95" t="str">
        <x:v>P1</x:v>
      </x:c>
      <x:c r="D26" s="95" t="str">
        <x:v>Air Fryers</x:v>
      </x:c>
      <x:c r="E26" s="95" t="str">
        <x:v>Single Review</x:v>
      </x:c>
      <x:c r="F26" s="95" t="str">
        <x:v>Cosori TurboBlaze Air Fryer Review</x:v>
      </x:c>
      <x:c r="G26" s="95" t="str">
        <x:v>Not Started</x:v>
      </x:c>
      <x:c r="H26" s="95" t="str"/>
      <x:c r="I26" s="95" t="str"/>
      <x:c r="J26" s="95" t="str"/>
      <x:c r="K26" s="95" t="str">
        <x:v>No</x:v>
      </x:c>
      <x:c r="L26" s="95" t="str">
        <x:v>No</x:v>
      </x:c>
      <x:c r="M26" s="114" t="str"/>
      <x:c r="N26" s="101" t="str"/>
    </x:row>
    <x:row r="27">
      <x:c r="A27" s="100" t="n">
        <x:v>26</x:v>
      </x:c>
      <x:c r="B27" s="95" t="str">
        <x:v>BL-V01</x:v>
      </x:c>
      <x:c r="C27" s="95" t="str">
        <x:v>P1</x:v>
      </x:c>
      <x:c r="D27" s="95" t="str">
        <x:v>Blenders</x:v>
      </x:c>
      <x:c r="E27" s="95" t="str">
        <x:v>Single Review</x:v>
      </x:c>
      <x:c r="F27" s="95" t="str">
        <x:v>Ninja Detect Power Blender Pro Review</x:v>
      </x:c>
      <x:c r="G27" s="95" t="str">
        <x:v>Not Started</x:v>
      </x:c>
      <x:c r="H27" s="95" t="str"/>
      <x:c r="I27" s="95" t="str"/>
      <x:c r="J27" s="95" t="str"/>
      <x:c r="K27" s="95" t="str">
        <x:v>No</x:v>
      </x:c>
      <x:c r="L27" s="95" t="str">
        <x:v>No</x:v>
      </x:c>
      <x:c r="M27" s="114" t="str"/>
      <x:c r="N27" s="101" t="str"/>
    </x:row>
    <x:row r="28">
      <x:c r="A28" s="100" t="n">
        <x:v>27</x:v>
      </x:c>
      <x:c r="B28" s="95" t="str">
        <x:v>BL-V02</x:v>
      </x:c>
      <x:c r="C28" s="95" t="str">
        <x:v>P1</x:v>
      </x:c>
      <x:c r="D28" s="95" t="str">
        <x:v>Blenders</x:v>
      </x:c>
      <x:c r="E28" s="95" t="str">
        <x:v>Single Review</x:v>
      </x:c>
      <x:c r="F28" s="95" t="str">
        <x:v>NutriBullet Pro 900 Review</x:v>
      </x:c>
      <x:c r="G28" s="95" t="str">
        <x:v>Not Started</x:v>
      </x:c>
      <x:c r="H28" s="95" t="str"/>
      <x:c r="I28" s="95" t="str"/>
      <x:c r="J28" s="95" t="str"/>
      <x:c r="K28" s="95" t="str">
        <x:v>No</x:v>
      </x:c>
      <x:c r="L28" s="95" t="str">
        <x:v>No</x:v>
      </x:c>
      <x:c r="M28" s="114" t="str"/>
      <x:c r="N28" s="101" t="str"/>
    </x:row>
    <x:row r="29">
      <x:c r="A29" s="100" t="n">
        <x:v>28</x:v>
      </x:c>
      <x:c r="B29" s="95" t="str">
        <x:v>AF-G01</x:v>
      </x:c>
      <x:c r="C29" s="95" t="str">
        <x:v>P1</x:v>
      </x:c>
      <x:c r="D29" s="95" t="str">
        <x:v>Air Fryers</x:v>
      </x:c>
      <x:c r="E29" s="95" t="str">
        <x:v>Buying Guide</x:v>
      </x:c>
      <x:c r="F29" s="95" t="str">
        <x:v>Air Fryer Buying Guide</x:v>
      </x:c>
      <x:c r="G29" s="95" t="str">
        <x:v>Not Started</x:v>
      </x:c>
      <x:c r="H29" s="95" t="str"/>
      <x:c r="I29" s="95" t="str"/>
      <x:c r="J29" s="95" t="str"/>
      <x:c r="K29" s="95" t="str">
        <x:v>No</x:v>
      </x:c>
      <x:c r="L29" s="95" t="str">
        <x:v>No</x:v>
      </x:c>
      <x:c r="M29" s="114" t="str"/>
      <x:c r="N29" s="101" t="str"/>
    </x:row>
    <x:row r="30">
      <x:c r="A30" s="100" t="n">
        <x:v>29</x:v>
      </x:c>
      <x:c r="B30" s="95" t="str">
        <x:v>BL-G01</x:v>
      </x:c>
      <x:c r="C30" s="95" t="str">
        <x:v>P1</x:v>
      </x:c>
      <x:c r="D30" s="95" t="str">
        <x:v>Blenders</x:v>
      </x:c>
      <x:c r="E30" s="95" t="str">
        <x:v>Buying Guide</x:v>
      </x:c>
      <x:c r="F30" s="95" t="str">
        <x:v>Blender Buying Guide</x:v>
      </x:c>
      <x:c r="G30" s="95" t="str">
        <x:v>Not Started</x:v>
      </x:c>
      <x:c r="H30" s="95" t="str"/>
      <x:c r="I30" s="95" t="str"/>
      <x:c r="J30" s="95" t="str"/>
      <x:c r="K30" s="95" t="str">
        <x:v>No</x:v>
      </x:c>
      <x:c r="L30" s="95" t="str">
        <x:v>No</x:v>
      </x:c>
      <x:c r="M30" s="114" t="str"/>
      <x:c r="N30" s="101" t="str"/>
    </x:row>
    <x:row r="31">
      <x:c r="A31" s="100" t="n">
        <x:v>30</x:v>
      </x:c>
      <x:c r="B31" s="95" t="str">
        <x:v>CC-G01</x:v>
      </x:c>
      <x:c r="C31" s="95" t="str">
        <x:v>P1</x:v>
      </x:c>
      <x:c r="D31" s="95" t="str">
        <x:v>Cross-Category</x:v>
      </x:c>
      <x:c r="E31" s="95" t="str">
        <x:v>Buying Guide</x:v>
      </x:c>
      <x:c r="F31" s="95" t="str">
        <x:v>How CounterCrave Tests and Evaluates Kitchen Appliances</x:v>
      </x:c>
      <x:c r="G31" s="95" t="str">
        <x:v>Not Started</x:v>
      </x:c>
      <x:c r="H31" s="95" t="str"/>
      <x:c r="I31" s="95" t="str"/>
      <x:c r="J31" s="95" t="str"/>
      <x:c r="K31" s="95" t="str">
        <x:v>No</x:v>
      </x:c>
      <x:c r="L31" s="95" t="str">
        <x:v>No</x:v>
      </x:c>
      <x:c r="M31" s="114" t="str"/>
      <x:c r="N31" s="101" t="str"/>
    </x:row>
    <x:row r="32">
      <x:c r="A32" s="100" t="n">
        <x:v>31</x:v>
      </x:c>
      <x:c r="B32" s="95" t="str">
        <x:v>AF-G02</x:v>
      </x:c>
      <x:c r="C32" s="95" t="str">
        <x:v>P1</x:v>
      </x:c>
      <x:c r="D32" s="95" t="str">
        <x:v>Air Fryers</x:v>
      </x:c>
      <x:c r="E32" s="95" t="str">
        <x:v>Informational</x:v>
      </x:c>
      <x:c r="F32" s="95" t="str">
        <x:v>What Size Air Fryer Do I Need?</x:v>
      </x:c>
      <x:c r="G32" s="95" t="str">
        <x:v>Not Started</x:v>
      </x:c>
      <x:c r="H32" s="95" t="str"/>
      <x:c r="I32" s="95" t="str"/>
      <x:c r="J32" s="95" t="str"/>
      <x:c r="K32" s="95" t="str">
        <x:v>No</x:v>
      </x:c>
      <x:c r="L32" s="95" t="str">
        <x:v>No</x:v>
      </x:c>
      <x:c r="M32" s="114" t="str"/>
      <x:c r="N32" s="101" t="str"/>
    </x:row>
    <x:row r="33">
      <x:c r="A33" s="100" t="n">
        <x:v>32</x:v>
      </x:c>
      <x:c r="B33" s="95" t="str">
        <x:v>CC-G02</x:v>
      </x:c>
      <x:c r="C33" s="95" t="str">
        <x:v>P1</x:v>
      </x:c>
      <x:c r="D33" s="95" t="str">
        <x:v>Cross-Category</x:v>
      </x:c>
      <x:c r="E33" s="95" t="str">
        <x:v>Informational</x:v>
      </x:c>
      <x:c r="F33" s="95" t="str">
        <x:v>Countertop Appliance Size and Clearance Guide</x:v>
      </x:c>
      <x:c r="G33" s="95" t="str">
        <x:v>Not Started</x:v>
      </x:c>
      <x:c r="H33" s="95" t="str"/>
      <x:c r="I33" s="95" t="str"/>
      <x:c r="J33" s="95" t="str"/>
      <x:c r="K33" s="95" t="str">
        <x:v>No</x:v>
      </x:c>
      <x:c r="L33" s="95" t="str">
        <x:v>No</x:v>
      </x:c>
      <x:c r="M33" s="114" t="str"/>
      <x:c r="N33" s="101" t="str"/>
    </x:row>
    <x:row r="34">
      <x:c r="A34" s="100" t="n">
        <x:v>33</x:v>
      </x:c>
      <x:c r="B34" s="95" t="str">
        <x:v>EK-HUB</x:v>
      </x:c>
      <x:c r="C34" s="95" t="str">
        <x:v>P2</x:v>
      </x:c>
      <x:c r="D34" s="95" t="str">
        <x:v>Electric Kettles</x:v>
      </x:c>
      <x:c r="E34" s="95" t="str">
        <x:v>Category Hub</x:v>
      </x:c>
      <x:c r="F34" s="95" t="str">
        <x:v>Electric Kettle Reviews, Comparisons and Buying Guides</x:v>
      </x:c>
      <x:c r="G34" s="95" t="str">
        <x:v>Not Started</x:v>
      </x:c>
      <x:c r="H34" s="95" t="str"/>
      <x:c r="I34" s="95" t="str"/>
      <x:c r="J34" s="95" t="str"/>
      <x:c r="K34" s="95" t="str">
        <x:v>No</x:v>
      </x:c>
      <x:c r="L34" s="95" t="str">
        <x:v>No</x:v>
      </x:c>
      <x:c r="M34" s="114" t="str"/>
      <x:c r="N34" s="101" t="str"/>
    </x:row>
    <x:row r="35">
      <x:c r="A35" s="100" t="n">
        <x:v>34</x:v>
      </x:c>
      <x:c r="B35" s="95" t="str">
        <x:v>TO-HUB</x:v>
      </x:c>
      <x:c r="C35" s="95" t="str">
        <x:v>P2</x:v>
      </x:c>
      <x:c r="D35" s="95" t="str">
        <x:v>Toaster Ovens</x:v>
      </x:c>
      <x:c r="E35" s="95" t="str">
        <x:v>Category Hub</x:v>
      </x:c>
      <x:c r="F35" s="95" t="str">
        <x:v>Toaster Oven Reviews, Comparisons and Buying Guides</x:v>
      </x:c>
      <x:c r="G35" s="95" t="str">
        <x:v>Not Started</x:v>
      </x:c>
      <x:c r="H35" s="95" t="str"/>
      <x:c r="I35" s="95" t="str"/>
      <x:c r="J35" s="95" t="str"/>
      <x:c r="K35" s="95" t="str">
        <x:v>No</x:v>
      </x:c>
      <x:c r="L35" s="95" t="str">
        <x:v>No</x:v>
      </x:c>
      <x:c r="M35" s="114" t="str"/>
      <x:c r="N35" s="101" t="str"/>
    </x:row>
    <x:row r="36">
      <x:c r="A36" s="100" t="n">
        <x:v>35</x:v>
      </x:c>
      <x:c r="B36" s="95" t="str">
        <x:v>EK-PIL</x:v>
      </x:c>
      <x:c r="C36" s="95" t="str">
        <x:v>P2</x:v>
      </x:c>
      <x:c r="D36" s="95" t="str">
        <x:v>Electric Kettles</x:v>
      </x:c>
      <x:c r="E36" s="95" t="str">
        <x:v>Commercial Pillar</x:v>
      </x:c>
      <x:c r="F36" s="95" t="str">
        <x:v>Best Electric Kettles for Tea, Coffee and Fast Boiling</x:v>
      </x:c>
      <x:c r="G36" s="95" t="str">
        <x:v>Not Started</x:v>
      </x:c>
      <x:c r="H36" s="95" t="str"/>
      <x:c r="I36" s="95" t="str"/>
      <x:c r="J36" s="95" t="str"/>
      <x:c r="K36" s="95" t="str">
        <x:v>No</x:v>
      </x:c>
      <x:c r="L36" s="95" t="str">
        <x:v>No</x:v>
      </x:c>
      <x:c r="M36" s="114" t="str"/>
      <x:c r="N36" s="101" t="str"/>
    </x:row>
    <x:row r="37">
      <x:c r="A37" s="100" t="n">
        <x:v>36</x:v>
      </x:c>
      <x:c r="B37" s="95" t="str">
        <x:v>TO-PIL</x:v>
      </x:c>
      <x:c r="C37" s="95" t="str">
        <x:v>P2</x:v>
      </x:c>
      <x:c r="D37" s="95" t="str">
        <x:v>Toaster Ovens</x:v>
      </x:c>
      <x:c r="E37" s="95" t="str">
        <x:v>Commercial Pillar</x:v>
      </x:c>
      <x:c r="F37" s="95" t="str">
        <x:v>Best Toaster Ovens for Toast, Baking and Everyday Meals</x:v>
      </x:c>
      <x:c r="G37" s="95" t="str">
        <x:v>Not Started</x:v>
      </x:c>
      <x:c r="H37" s="95" t="str"/>
      <x:c r="I37" s="95" t="str"/>
      <x:c r="J37" s="95" t="str"/>
      <x:c r="K37" s="95" t="str">
        <x:v>No</x:v>
      </x:c>
      <x:c r="L37" s="95" t="str">
        <x:v>No</x:v>
      </x:c>
      <x:c r="M37" s="114" t="str"/>
      <x:c r="N37" s="101" t="str"/>
    </x:row>
    <x:row r="38">
      <x:c r="A38" s="100" t="n">
        <x:v>37</x:v>
      </x:c>
      <x:c r="B38" s="95" t="str">
        <x:v>AF-R08</x:v>
      </x:c>
      <x:c r="C38" s="95" t="str">
        <x:v>P2</x:v>
      </x:c>
      <x:c r="D38" s="95" t="str">
        <x:v>Air Fryers</x:v>
      </x:c>
      <x:c r="E38" s="95" t="str">
        <x:v>Roundup</x:v>
      </x:c>
      <x:c r="F38" s="95" t="str">
        <x:v>Best Air Fryers for Apartments</x:v>
      </x:c>
      <x:c r="G38" s="95" t="str">
        <x:v>Not Started</x:v>
      </x:c>
      <x:c r="H38" s="95" t="str"/>
      <x:c r="I38" s="95" t="str"/>
      <x:c r="J38" s="95" t="str"/>
      <x:c r="K38" s="95" t="str">
        <x:v>No</x:v>
      </x:c>
      <x:c r="L38" s="95" t="str">
        <x:v>No</x:v>
      </x:c>
      <x:c r="M38" s="114" t="str"/>
      <x:c r="N38" s="101" t="str"/>
    </x:row>
    <x:row r="39">
      <x:c r="A39" s="100" t="n">
        <x:v>38</x:v>
      </x:c>
      <x:c r="B39" s="95" t="str">
        <x:v>AF-R09</x:v>
      </x:c>
      <x:c r="C39" s="95" t="str">
        <x:v>P2</x:v>
      </x:c>
      <x:c r="D39" s="95" t="str">
        <x:v>Air Fryers</x:v>
      </x:c>
      <x:c r="E39" s="95" t="str">
        <x:v>Roundup</x:v>
      </x:c>
      <x:c r="F39" s="95" t="str">
        <x:v>Best Air Fryers for Beginners</x:v>
      </x:c>
      <x:c r="G39" s="95" t="str">
        <x:v>Not Started</x:v>
      </x:c>
      <x:c r="H39" s="95" t="str"/>
      <x:c r="I39" s="95" t="str"/>
      <x:c r="J39" s="95" t="str"/>
      <x:c r="K39" s="95" t="str">
        <x:v>No</x:v>
      </x:c>
      <x:c r="L39" s="95" t="str">
        <x:v>No</x:v>
      </x:c>
      <x:c r="M39" s="114" t="str"/>
      <x:c r="N39" s="101" t="str"/>
    </x:row>
    <x:row r="40">
      <x:c r="A40" s="100" t="n">
        <x:v>39</x:v>
      </x:c>
      <x:c r="B40" s="95" t="str">
        <x:v>AF-R10</x:v>
      </x:c>
      <x:c r="C40" s="95" t="str">
        <x:v>P2</x:v>
      </x:c>
      <x:c r="D40" s="95" t="str">
        <x:v>Air Fryers</x:v>
      </x:c>
      <x:c r="E40" s="95" t="str">
        <x:v>Roundup</x:v>
      </x:c>
      <x:c r="F40" s="95" t="str">
        <x:v>Best Air Fryers for Seniors</x:v>
      </x:c>
      <x:c r="G40" s="95" t="str">
        <x:v>Not Started</x:v>
      </x:c>
      <x:c r="H40" s="95" t="str"/>
      <x:c r="I40" s="95" t="str"/>
      <x:c r="J40" s="95" t="str"/>
      <x:c r="K40" s="95" t="str">
        <x:v>No</x:v>
      </x:c>
      <x:c r="L40" s="95" t="str">
        <x:v>No</x:v>
      </x:c>
      <x:c r="M40" s="114" t="str"/>
      <x:c r="N40" s="101" t="str"/>
    </x:row>
    <x:row r="41">
      <x:c r="A41" s="100" t="n">
        <x:v>40</x:v>
      </x:c>
      <x:c r="B41" s="95" t="str">
        <x:v>AF-R13</x:v>
      </x:c>
      <x:c r="C41" s="95" t="str">
        <x:v>P2</x:v>
      </x:c>
      <x:c r="D41" s="95" t="str">
        <x:v>Air Fryers</x:v>
      </x:c>
      <x:c r="E41" s="95" t="str">
        <x:v>Roundup</x:v>
      </x:c>
      <x:c r="F41" s="95" t="str">
        <x:v>Best Stainless Steel Air Fryers</x:v>
      </x:c>
      <x:c r="G41" s="95" t="str">
        <x:v>Not Started</x:v>
      </x:c>
      <x:c r="H41" s="95" t="str"/>
      <x:c r="I41" s="95" t="str"/>
      <x:c r="J41" s="95" t="str"/>
      <x:c r="K41" s="95" t="str">
        <x:v>No</x:v>
      </x:c>
      <x:c r="L41" s="95" t="str">
        <x:v>No</x:v>
      </x:c>
      <x:c r="M41" s="114" t="str"/>
      <x:c r="N41" s="101" t="str"/>
    </x:row>
    <x:row r="42">
      <x:c r="A42" s="100" t="n">
        <x:v>41</x:v>
      </x:c>
      <x:c r="B42" s="95" t="str">
        <x:v>AF-R14</x:v>
      </x:c>
      <x:c r="C42" s="95" t="str">
        <x:v>P2</x:v>
      </x:c>
      <x:c r="D42" s="95" t="str">
        <x:v>Air Fryers</x:v>
      </x:c>
      <x:c r="E42" s="95" t="str">
        <x:v>Roundup</x:v>
      </x:c>
      <x:c r="F42" s="95" t="str">
        <x:v>Best Quiet Air Fryers</x:v>
      </x:c>
      <x:c r="G42" s="95" t="str">
        <x:v>Not Started</x:v>
      </x:c>
      <x:c r="H42" s="95" t="str"/>
      <x:c r="I42" s="95" t="str"/>
      <x:c r="J42" s="95" t="str"/>
      <x:c r="K42" s="95" t="str">
        <x:v>No</x:v>
      </x:c>
      <x:c r="L42" s="95" t="str">
        <x:v>No</x:v>
      </x:c>
      <x:c r="M42" s="114" t="str"/>
      <x:c r="N42" s="101" t="str"/>
    </x:row>
    <x:row r="43">
      <x:c r="A43" s="100" t="n">
        <x:v>42</x:v>
      </x:c>
      <x:c r="B43" s="95" t="str">
        <x:v>AF-R15</x:v>
      </x:c>
      <x:c r="C43" s="95" t="str">
        <x:v>P2</x:v>
      </x:c>
      <x:c r="D43" s="95" t="str">
        <x:v>Air Fryers</x:v>
      </x:c>
      <x:c r="E43" s="95" t="str">
        <x:v>Roundup</x:v>
      </x:c>
      <x:c r="F43" s="95" t="str">
        <x:v>Best Easy-to-Clean Air Fryers</x:v>
      </x:c>
      <x:c r="G43" s="95" t="str">
        <x:v>Not Started</x:v>
      </x:c>
      <x:c r="H43" s="95" t="str"/>
      <x:c r="I43" s="95" t="str"/>
      <x:c r="J43" s="95" t="str"/>
      <x:c r="K43" s="95" t="str">
        <x:v>No</x:v>
      </x:c>
      <x:c r="L43" s="95" t="str">
        <x:v>No</x:v>
      </x:c>
      <x:c r="M43" s="114" t="str"/>
      <x:c r="N43" s="101" t="str"/>
    </x:row>
    <x:row r="44">
      <x:c r="A44" s="100" t="n">
        <x:v>43</x:v>
      </x:c>
      <x:c r="B44" s="95" t="str">
        <x:v>AF-R16</x:v>
      </x:c>
      <x:c r="C44" s="95" t="str">
        <x:v>P2</x:v>
      </x:c>
      <x:c r="D44" s="95" t="str">
        <x:v>Air Fryers</x:v>
      </x:c>
      <x:c r="E44" s="95" t="str">
        <x:v>Roundup</x:v>
      </x:c>
      <x:c r="F44" s="95" t="str">
        <x:v>Best Air Fryers for Chicken Wings</x:v>
      </x:c>
      <x:c r="G44" s="95" t="str">
        <x:v>Not Started</x:v>
      </x:c>
      <x:c r="H44" s="95" t="str"/>
      <x:c r="I44" s="95" t="str"/>
      <x:c r="J44" s="95" t="str"/>
      <x:c r="K44" s="95" t="str">
        <x:v>No</x:v>
      </x:c>
      <x:c r="L44" s="95" t="str">
        <x:v>No</x:v>
      </x:c>
      <x:c r="M44" s="114" t="str"/>
      <x:c r="N44" s="101" t="str"/>
    </x:row>
    <x:row r="45">
      <x:c r="A45" s="100" t="n">
        <x:v>44</x:v>
      </x:c>
      <x:c r="B45" s="95" t="str">
        <x:v>AF-R17</x:v>
      </x:c>
      <x:c r="C45" s="95" t="str">
        <x:v>P2</x:v>
      </x:c>
      <x:c r="D45" s="95" t="str">
        <x:v>Air Fryers</x:v>
      </x:c>
      <x:c r="E45" s="95" t="str">
        <x:v>Roundup</x:v>
      </x:c>
      <x:c r="F45" s="95" t="str">
        <x:v>Best Air Fryers for French Fries</x:v>
      </x:c>
      <x:c r="G45" s="95" t="str">
        <x:v>Not Started</x:v>
      </x:c>
      <x:c r="H45" s="95" t="str"/>
      <x:c r="I45" s="95" t="str"/>
      <x:c r="J45" s="95" t="str"/>
      <x:c r="K45" s="95" t="str">
        <x:v>No</x:v>
      </x:c>
      <x:c r="L45" s="95" t="str">
        <x:v>No</x:v>
      </x:c>
      <x:c r="M45" s="114" t="str"/>
      <x:c r="N45" s="101" t="str"/>
    </x:row>
    <x:row r="46">
      <x:c r="A46" s="100" t="n">
        <x:v>45</x:v>
      </x:c>
      <x:c r="B46" s="95" t="str">
        <x:v>BL-R02</x:v>
      </x:c>
      <x:c r="C46" s="95" t="str">
        <x:v>P2</x:v>
      </x:c>
      <x:c r="D46" s="95" t="str">
        <x:v>Blenders</x:v>
      </x:c>
      <x:c r="E46" s="95" t="str">
        <x:v>Roundup</x:v>
      </x:c>
      <x:c r="F46" s="95" t="str">
        <x:v>Best Blenders Under $200</x:v>
      </x:c>
      <x:c r="G46" s="95" t="str">
        <x:v>Not Started</x:v>
      </x:c>
      <x:c r="H46" s="95" t="str"/>
      <x:c r="I46" s="95" t="str"/>
      <x:c r="J46" s="95" t="str"/>
      <x:c r="K46" s="95" t="str">
        <x:v>No</x:v>
      </x:c>
      <x:c r="L46" s="95" t="str">
        <x:v>No</x:v>
      </x:c>
      <x:c r="M46" s="114" t="str"/>
      <x:c r="N46" s="101" t="str"/>
    </x:row>
    <x:row r="47">
      <x:c r="A47" s="100" t="n">
        <x:v>46</x:v>
      </x:c>
      <x:c r="B47" s="95" t="str">
        <x:v>BL-R07</x:v>
      </x:c>
      <x:c r="C47" s="95" t="str">
        <x:v>P2</x:v>
      </x:c>
      <x:c r="D47" s="95" t="str">
        <x:v>Blenders</x:v>
      </x:c>
      <x:c r="E47" s="95" t="str">
        <x:v>Roundup</x:v>
      </x:c>
      <x:c r="F47" s="95" t="str">
        <x:v>Best Blenders for Protein Shakes</x:v>
      </x:c>
      <x:c r="G47" s="95" t="str">
        <x:v>Not Started</x:v>
      </x:c>
      <x:c r="H47" s="95" t="str"/>
      <x:c r="I47" s="95" t="str"/>
      <x:c r="J47" s="95" t="str"/>
      <x:c r="K47" s="95" t="str">
        <x:v>No</x:v>
      </x:c>
      <x:c r="L47" s="95" t="str">
        <x:v>No</x:v>
      </x:c>
      <x:c r="M47" s="114" t="str"/>
      <x:c r="N47" s="101" t="str"/>
    </x:row>
    <x:row r="48">
      <x:c r="A48" s="100" t="n">
        <x:v>47</x:v>
      </x:c>
      <x:c r="B48" s="95" t="str">
        <x:v>BL-R08</x:v>
      </x:c>
      <x:c r="C48" s="95" t="str">
        <x:v>P2</x:v>
      </x:c>
      <x:c r="D48" s="95" t="str">
        <x:v>Blenders</x:v>
      </x:c>
      <x:c r="E48" s="95" t="str">
        <x:v>Roundup</x:v>
      </x:c>
      <x:c r="F48" s="95" t="str">
        <x:v>Best Blenders for Nut Butter</x:v>
      </x:c>
      <x:c r="G48" s="95" t="str">
        <x:v>Not Started</x:v>
      </x:c>
      <x:c r="H48" s="95" t="str"/>
      <x:c r="I48" s="95" t="str"/>
      <x:c r="J48" s="95" t="str"/>
      <x:c r="K48" s="95" t="str">
        <x:v>No</x:v>
      </x:c>
      <x:c r="L48" s="95" t="str">
        <x:v>No</x:v>
      </x:c>
      <x:c r="M48" s="114" t="str"/>
      <x:c r="N48" s="101" t="str"/>
    </x:row>
    <x:row r="49">
      <x:c r="A49" s="100" t="n">
        <x:v>48</x:v>
      </x:c>
      <x:c r="B49" s="95" t="str">
        <x:v>BL-R09</x:v>
      </x:c>
      <x:c r="C49" s="95" t="str">
        <x:v>P2</x:v>
      </x:c>
      <x:c r="D49" s="95" t="str">
        <x:v>Blenders</x:v>
      </x:c>
      <x:c r="E49" s="95" t="str">
        <x:v>Roundup</x:v>
      </x:c>
      <x:c r="F49" s="95" t="str">
        <x:v>Best Blenders for Hot Soup</x:v>
      </x:c>
      <x:c r="G49" s="95" t="str">
        <x:v>Not Started</x:v>
      </x:c>
      <x:c r="H49" s="95" t="str"/>
      <x:c r="I49" s="95" t="str"/>
      <x:c r="J49" s="95" t="str"/>
      <x:c r="K49" s="95" t="str">
        <x:v>No</x:v>
      </x:c>
      <x:c r="L49" s="95" t="str">
        <x:v>No</x:v>
      </x:c>
      <x:c r="M49" s="114" t="str"/>
      <x:c r="N49" s="101" t="str"/>
    </x:row>
    <x:row r="50">
      <x:c r="A50" s="100" t="n">
        <x:v>49</x:v>
      </x:c>
      <x:c r="B50" s="95" t="str">
        <x:v>BL-R10</x:v>
      </x:c>
      <x:c r="C50" s="95" t="str">
        <x:v>P2</x:v>
      </x:c>
      <x:c r="D50" s="95" t="str">
        <x:v>Blenders</x:v>
      </x:c>
      <x:c r="E50" s="95" t="str">
        <x:v>Roundup</x:v>
      </x:c>
      <x:c r="F50" s="95" t="str">
        <x:v>Best Quiet Blenders</x:v>
      </x:c>
      <x:c r="G50" s="95" t="str">
        <x:v>Not Started</x:v>
      </x:c>
      <x:c r="H50" s="95" t="str"/>
      <x:c r="I50" s="95" t="str"/>
      <x:c r="J50" s="95" t="str"/>
      <x:c r="K50" s="95" t="str">
        <x:v>No</x:v>
      </x:c>
      <x:c r="L50" s="95" t="str">
        <x:v>No</x:v>
      </x:c>
      <x:c r="M50" s="114" t="str"/>
      <x:c r="N50" s="101" t="str"/>
    </x:row>
    <x:row r="51">
      <x:c r="A51" s="100" t="n">
        <x:v>50</x:v>
      </x:c>
      <x:c r="B51" s="95" t="str">
        <x:v>BL-R11</x:v>
      </x:c>
      <x:c r="C51" s="95" t="str">
        <x:v>P2</x:v>
      </x:c>
      <x:c r="D51" s="95" t="str">
        <x:v>Blenders</x:v>
      </x:c>
      <x:c r="E51" s="95" t="str">
        <x:v>Roundup</x:v>
      </x:c>
      <x:c r="F51" s="95" t="str">
        <x:v>Best Blenders with Glass Jars</x:v>
      </x:c>
      <x:c r="G51" s="95" t="str">
        <x:v>Not Started</x:v>
      </x:c>
      <x:c r="H51" s="95" t="str"/>
      <x:c r="I51" s="95" t="str"/>
      <x:c r="J51" s="95" t="str"/>
      <x:c r="K51" s="95" t="str">
        <x:v>No</x:v>
      </x:c>
      <x:c r="L51" s="95" t="str">
        <x:v>No</x:v>
      </x:c>
      <x:c r="M51" s="114" t="str"/>
      <x:c r="N51" s="101" t="str"/>
    </x:row>
    <x:row r="52">
      <x:c r="A52" s="100" t="n">
        <x:v>51</x:v>
      </x:c>
      <x:c r="B52" s="95" t="str">
        <x:v>BL-R12</x:v>
      </x:c>
      <x:c r="C52" s="95" t="str">
        <x:v>P2</x:v>
      </x:c>
      <x:c r="D52" s="95" t="str">
        <x:v>Blenders</x:v>
      </x:c>
      <x:c r="E52" s="95" t="str">
        <x:v>Roundup</x:v>
      </x:c>
      <x:c r="F52" s="95" t="str">
        <x:v>Best Compact Blenders for Small Kitchens</x:v>
      </x:c>
      <x:c r="G52" s="95" t="str">
        <x:v>Not Started</x:v>
      </x:c>
      <x:c r="H52" s="95" t="str"/>
      <x:c r="I52" s="95" t="str"/>
      <x:c r="J52" s="95" t="str"/>
      <x:c r="K52" s="95" t="str">
        <x:v>No</x:v>
      </x:c>
      <x:c r="L52" s="95" t="str">
        <x:v>No</x:v>
      </x:c>
      <x:c r="M52" s="114" t="str"/>
      <x:c r="N52" s="101" t="str"/>
    </x:row>
    <x:row r="53">
      <x:c r="A53" s="100" t="n">
        <x:v>52</x:v>
      </x:c>
      <x:c r="B53" s="95" t="str">
        <x:v>EK-R01</x:v>
      </x:c>
      <x:c r="C53" s="95" t="str">
        <x:v>P2</x:v>
      </x:c>
      <x:c r="D53" s="95" t="str">
        <x:v>Electric Kettles</x:v>
      </x:c>
      <x:c r="E53" s="95" t="str">
        <x:v>Roundup</x:v>
      </x:c>
      <x:c r="F53" s="95" t="str">
        <x:v>Best Electric Kettles Under $50</x:v>
      </x:c>
      <x:c r="G53" s="95" t="str">
        <x:v>Not Started</x:v>
      </x:c>
      <x:c r="H53" s="95" t="str"/>
      <x:c r="I53" s="95" t="str"/>
      <x:c r="J53" s="95" t="str"/>
      <x:c r="K53" s="95" t="str">
        <x:v>No</x:v>
      </x:c>
      <x:c r="L53" s="95" t="str">
        <x:v>No</x:v>
      </x:c>
      <x:c r="M53" s="114" t="str"/>
      <x:c r="N53" s="101" t="str"/>
    </x:row>
    <x:row r="54">
      <x:c r="A54" s="100" t="n">
        <x:v>53</x:v>
      </x:c>
      <x:c r="B54" s="95" t="str">
        <x:v>EK-R02</x:v>
      </x:c>
      <x:c r="C54" s="95" t="str">
        <x:v>P2</x:v>
      </x:c>
      <x:c r="D54" s="95" t="str">
        <x:v>Electric Kettles</x:v>
      </x:c>
      <x:c r="E54" s="95" t="str">
        <x:v>Roundup</x:v>
      </x:c>
      <x:c r="F54" s="95" t="str">
        <x:v>Best Gooseneck Kettles</x:v>
      </x:c>
      <x:c r="G54" s="95" t="str">
        <x:v>Not Started</x:v>
      </x:c>
      <x:c r="H54" s="95" t="str"/>
      <x:c r="I54" s="95" t="str"/>
      <x:c r="J54" s="95" t="str"/>
      <x:c r="K54" s="95" t="str">
        <x:v>No</x:v>
      </x:c>
      <x:c r="L54" s="95" t="str">
        <x:v>No</x:v>
      </x:c>
      <x:c r="M54" s="114" t="str"/>
      <x:c r="N54" s="101" t="str"/>
    </x:row>
    <x:row r="55">
      <x:c r="A55" s="100" t="n">
        <x:v>54</x:v>
      </x:c>
      <x:c r="B55" s="95" t="str">
        <x:v>EK-R03</x:v>
      </x:c>
      <x:c r="C55" s="95" t="str">
        <x:v>P2</x:v>
      </x:c>
      <x:c r="D55" s="95" t="str">
        <x:v>Electric Kettles</x:v>
      </x:c>
      <x:c r="E55" s="95" t="str">
        <x:v>Roundup</x:v>
      </x:c>
      <x:c r="F55" s="95" t="str">
        <x:v>Best Electric Kettles for Tea</x:v>
      </x:c>
      <x:c r="G55" s="95" t="str">
        <x:v>Not Started</x:v>
      </x:c>
      <x:c r="H55" s="95" t="str"/>
      <x:c r="I55" s="95" t="str"/>
      <x:c r="J55" s="95" t="str"/>
      <x:c r="K55" s="95" t="str">
        <x:v>No</x:v>
      </x:c>
      <x:c r="L55" s="95" t="str">
        <x:v>No</x:v>
      </x:c>
      <x:c r="M55" s="114" t="str"/>
      <x:c r="N55" s="101" t="str"/>
    </x:row>
    <x:row r="56">
      <x:c r="A56" s="100" t="n">
        <x:v>55</x:v>
      </x:c>
      <x:c r="B56" s="95" t="str">
        <x:v>EK-R04</x:v>
      </x:c>
      <x:c r="C56" s="95" t="str">
        <x:v>P2</x:v>
      </x:c>
      <x:c r="D56" s="95" t="str">
        <x:v>Electric Kettles</x:v>
      </x:c>
      <x:c r="E56" s="95" t="str">
        <x:v>Roundup</x:v>
      </x:c>
      <x:c r="F56" s="95" t="str">
        <x:v>Best Electric Kettles for Pour-Over Coffee</x:v>
      </x:c>
      <x:c r="G56" s="95" t="str">
        <x:v>Not Started</x:v>
      </x:c>
      <x:c r="H56" s="95" t="str"/>
      <x:c r="I56" s="95" t="str"/>
      <x:c r="J56" s="95" t="str"/>
      <x:c r="K56" s="95" t="str">
        <x:v>No</x:v>
      </x:c>
      <x:c r="L56" s="95" t="str">
        <x:v>No</x:v>
      </x:c>
      <x:c r="M56" s="114" t="str"/>
      <x:c r="N56" s="101" t="str"/>
    </x:row>
    <x:row r="57">
      <x:c r="A57" s="100" t="n">
        <x:v>56</x:v>
      </x:c>
      <x:c r="B57" s="95" t="str">
        <x:v>EK-R05</x:v>
      </x:c>
      <x:c r="C57" s="95" t="str">
        <x:v>P2</x:v>
      </x:c>
      <x:c r="D57" s="95" t="str">
        <x:v>Electric Kettles</x:v>
      </x:c>
      <x:c r="E57" s="95" t="str">
        <x:v>Roundup</x:v>
      </x:c>
      <x:c r="F57" s="95" t="str">
        <x:v>Best Variable Temperature Kettles</x:v>
      </x:c>
      <x:c r="G57" s="95" t="str">
        <x:v>Not Started</x:v>
      </x:c>
      <x:c r="H57" s="95" t="str"/>
      <x:c r="I57" s="95" t="str"/>
      <x:c r="J57" s="95" t="str"/>
      <x:c r="K57" s="95" t="str">
        <x:v>No</x:v>
      </x:c>
      <x:c r="L57" s="95" t="str">
        <x:v>No</x:v>
      </x:c>
      <x:c r="M57" s="114" t="str"/>
      <x:c r="N57" s="101" t="str"/>
    </x:row>
    <x:row r="58">
      <x:c r="A58" s="100" t="n">
        <x:v>57</x:v>
      </x:c>
      <x:c r="B58" s="95" t="str">
        <x:v>TO-R01</x:v>
      </x:c>
      <x:c r="C58" s="95" t="str">
        <x:v>P2</x:v>
      </x:c>
      <x:c r="D58" s="95" t="str">
        <x:v>Toaster Ovens</x:v>
      </x:c>
      <x:c r="E58" s="95" t="str">
        <x:v>Roundup</x:v>
      </x:c>
      <x:c r="F58" s="95" t="str">
        <x:v>Best Toaster Ovens Under $100</x:v>
      </x:c>
      <x:c r="G58" s="95" t="str">
        <x:v>Not Started</x:v>
      </x:c>
      <x:c r="H58" s="95" t="str"/>
      <x:c r="I58" s="95" t="str"/>
      <x:c r="J58" s="95" t="str"/>
      <x:c r="K58" s="95" t="str">
        <x:v>No</x:v>
      </x:c>
      <x:c r="L58" s="95" t="str">
        <x:v>No</x:v>
      </x:c>
      <x:c r="M58" s="114" t="str"/>
      <x:c r="N58" s="101" t="str"/>
    </x:row>
    <x:row r="59">
      <x:c r="A59" s="100" t="n">
        <x:v>58</x:v>
      </x:c>
      <x:c r="B59" s="95" t="str">
        <x:v>TO-R02</x:v>
      </x:c>
      <x:c r="C59" s="95" t="str">
        <x:v>P2</x:v>
      </x:c>
      <x:c r="D59" s="95" t="str">
        <x:v>Toaster Ovens</x:v>
      </x:c>
      <x:c r="E59" s="95" t="str">
        <x:v>Roundup</x:v>
      </x:c>
      <x:c r="F59" s="95" t="str">
        <x:v>Best Toaster Ovens Under $200</x:v>
      </x:c>
      <x:c r="G59" s="95" t="str">
        <x:v>Not Started</x:v>
      </x:c>
      <x:c r="H59" s="95" t="str"/>
      <x:c r="I59" s="95" t="str"/>
      <x:c r="J59" s="95" t="str"/>
      <x:c r="K59" s="95" t="str">
        <x:v>No</x:v>
      </x:c>
      <x:c r="L59" s="95" t="str">
        <x:v>No</x:v>
      </x:c>
      <x:c r="M59" s="114" t="str"/>
      <x:c r="N59" s="101" t="str"/>
    </x:row>
    <x:row r="60">
      <x:c r="A60" s="100" t="n">
        <x:v>59</x:v>
      </x:c>
      <x:c r="B60" s="95" t="str">
        <x:v>TO-R03</x:v>
      </x:c>
      <x:c r="C60" s="95" t="str">
        <x:v>P2</x:v>
      </x:c>
      <x:c r="D60" s="95" t="str">
        <x:v>Toaster Ovens</x:v>
      </x:c>
      <x:c r="E60" s="95" t="str">
        <x:v>Roundup</x:v>
      </x:c>
      <x:c r="F60" s="95" t="str">
        <x:v>Best Small Toaster Ovens</x:v>
      </x:c>
      <x:c r="G60" s="95" t="str">
        <x:v>Not Started</x:v>
      </x:c>
      <x:c r="H60" s="95" t="str"/>
      <x:c r="I60" s="95" t="str"/>
      <x:c r="J60" s="95" t="str"/>
      <x:c r="K60" s="95" t="str">
        <x:v>No</x:v>
      </x:c>
      <x:c r="L60" s="95" t="str">
        <x:v>No</x:v>
      </x:c>
      <x:c r="M60" s="114" t="str"/>
      <x:c r="N60" s="101" t="str"/>
    </x:row>
    <x:row r="61">
      <x:c r="A61" s="100" t="n">
        <x:v>60</x:v>
      </x:c>
      <x:c r="B61" s="95" t="str">
        <x:v>TO-R04</x:v>
      </x:c>
      <x:c r="C61" s="95" t="str">
        <x:v>P2</x:v>
      </x:c>
      <x:c r="D61" s="95" t="str">
        <x:v>Toaster Ovens</x:v>
      </x:c>
      <x:c r="E61" s="95" t="str">
        <x:v>Roundup</x:v>
      </x:c>
      <x:c r="F61" s="95" t="str">
        <x:v>Best Toaster Ovens for Baking</x:v>
      </x:c>
      <x:c r="G61" s="95" t="str">
        <x:v>Not Started</x:v>
      </x:c>
      <x:c r="H61" s="95" t="str"/>
      <x:c r="I61" s="95" t="str"/>
      <x:c r="J61" s="95" t="str"/>
      <x:c r="K61" s="95" t="str">
        <x:v>No</x:v>
      </x:c>
      <x:c r="L61" s="95" t="str">
        <x:v>No</x:v>
      </x:c>
      <x:c r="M61" s="114" t="str"/>
      <x:c r="N61" s="101" t="str"/>
    </x:row>
    <x:row r="62">
      <x:c r="A62" s="100" t="n">
        <x:v>61</x:v>
      </x:c>
      <x:c r="B62" s="95" t="str">
        <x:v>TO-R06</x:v>
      </x:c>
      <x:c r="C62" s="95" t="str">
        <x:v>P2</x:v>
      </x:c>
      <x:c r="D62" s="95" t="str">
        <x:v>Toaster Ovens</x:v>
      </x:c>
      <x:c r="E62" s="95" t="str">
        <x:v>Roundup</x:v>
      </x:c>
      <x:c r="F62" s="95" t="str">
        <x:v>Best Air Fryer Toaster Ovens</x:v>
      </x:c>
      <x:c r="G62" s="95" t="str">
        <x:v>Not Started</x:v>
      </x:c>
      <x:c r="H62" s="95" t="str"/>
      <x:c r="I62" s="95" t="str"/>
      <x:c r="J62" s="95" t="str"/>
      <x:c r="K62" s="95" t="str">
        <x:v>No</x:v>
      </x:c>
      <x:c r="L62" s="95" t="str">
        <x:v>No</x:v>
      </x:c>
      <x:c r="M62" s="114" t="str"/>
      <x:c r="N62" s="101" t="str"/>
    </x:row>
    <x:row r="63">
      <x:c r="A63" s="100" t="n">
        <x:v>62</x:v>
      </x:c>
      <x:c r="B63" s="95" t="str">
        <x:v>AF-C02</x:v>
      </x:c>
      <x:c r="C63" s="95" t="str">
        <x:v>P2</x:v>
      </x:c>
      <x:c r="D63" s="95" t="str">
        <x:v>Air Fryers</x:v>
      </x:c>
      <x:c r="E63" s="95" t="str">
        <x:v>Comparison</x:v>
      </x:c>
      <x:c r="F63" s="95" t="str">
        <x:v>Instant Vortex vs Ninja Air Fryer</x:v>
      </x:c>
      <x:c r="G63" s="95" t="str">
        <x:v>Not Started</x:v>
      </x:c>
      <x:c r="H63" s="95" t="str"/>
      <x:c r="I63" s="95" t="str"/>
      <x:c r="J63" s="95" t="str"/>
      <x:c r="K63" s="95" t="str">
        <x:v>No</x:v>
      </x:c>
      <x:c r="L63" s="95" t="str">
        <x:v>No</x:v>
      </x:c>
      <x:c r="M63" s="114" t="str"/>
      <x:c r="N63" s="101" t="str"/>
    </x:row>
    <x:row r="64">
      <x:c r="A64" s="100" t="n">
        <x:v>63</x:v>
      </x:c>
      <x:c r="B64" s="95" t="str">
        <x:v>AF-C04</x:v>
      </x:c>
      <x:c r="C64" s="95" t="str">
        <x:v>P2</x:v>
      </x:c>
      <x:c r="D64" s="95" t="str">
        <x:v>Air Fryers</x:v>
      </x:c>
      <x:c r="E64" s="95" t="str">
        <x:v>Comparison</x:v>
      </x:c>
      <x:c r="F64" s="95" t="str">
        <x:v>Single Basket vs Dual Basket Air Fryer</x:v>
      </x:c>
      <x:c r="G64" s="95" t="str">
        <x:v>Not Started</x:v>
      </x:c>
      <x:c r="H64" s="95" t="str"/>
      <x:c r="I64" s="95" t="str"/>
      <x:c r="J64" s="95" t="str"/>
      <x:c r="K64" s="95" t="str">
        <x:v>No</x:v>
      </x:c>
      <x:c r="L64" s="95" t="str">
        <x:v>No</x:v>
      </x:c>
      <x:c r="M64" s="114" t="str"/>
      <x:c r="N64" s="101" t="str"/>
    </x:row>
    <x:row r="65">
      <x:c r="A65" s="100" t="n">
        <x:v>64</x:v>
      </x:c>
      <x:c r="B65" s="95" t="str">
        <x:v>AF-C05</x:v>
      </x:c>
      <x:c r="C65" s="95" t="str">
        <x:v>P2</x:v>
      </x:c>
      <x:c r="D65" s="95" t="str">
        <x:v>Air Fryers</x:v>
      </x:c>
      <x:c r="E65" s="95" t="str">
        <x:v>Comparison</x:v>
      </x:c>
      <x:c r="F65" s="95" t="str">
        <x:v>4-Quart vs 6-Quart Air Fryer</x:v>
      </x:c>
      <x:c r="G65" s="95" t="str">
        <x:v>Not Started</x:v>
      </x:c>
      <x:c r="H65" s="95" t="str"/>
      <x:c r="I65" s="95" t="str"/>
      <x:c r="J65" s="95" t="str"/>
      <x:c r="K65" s="95" t="str">
        <x:v>No</x:v>
      </x:c>
      <x:c r="L65" s="95" t="str">
        <x:v>No</x:v>
      </x:c>
      <x:c r="M65" s="114" t="str"/>
      <x:c r="N65" s="101" t="str"/>
    </x:row>
    <x:row r="66">
      <x:c r="A66" s="100" t="n">
        <x:v>65</x:v>
      </x:c>
      <x:c r="B66" s="95" t="str">
        <x:v>AF-C06</x:v>
      </x:c>
      <x:c r="C66" s="95" t="str">
        <x:v>P2</x:v>
      </x:c>
      <x:c r="D66" s="95" t="str">
        <x:v>Air Fryers</x:v>
      </x:c>
      <x:c r="E66" s="95" t="str">
        <x:v>Comparison</x:v>
      </x:c>
      <x:c r="F66" s="95" t="str">
        <x:v>Air Fryer vs Convection Oven</x:v>
      </x:c>
      <x:c r="G66" s="95" t="str">
        <x:v>Not Started</x:v>
      </x:c>
      <x:c r="H66" s="95" t="str"/>
      <x:c r="I66" s="95" t="str"/>
      <x:c r="J66" s="95" t="str"/>
      <x:c r="K66" s="95" t="str">
        <x:v>No</x:v>
      </x:c>
      <x:c r="L66" s="95" t="str">
        <x:v>No</x:v>
      </x:c>
      <x:c r="M66" s="114" t="str"/>
      <x:c r="N66" s="101" t="str"/>
    </x:row>
    <x:row r="67">
      <x:c r="A67" s="100" t="n">
        <x:v>66</x:v>
      </x:c>
      <x:c r="B67" s="95" t="str">
        <x:v>AF-C07</x:v>
      </x:c>
      <x:c r="C67" s="95" t="str">
        <x:v>P2</x:v>
      </x:c>
      <x:c r="D67" s="95" t="str">
        <x:v>Air Fryers</x:v>
      </x:c>
      <x:c r="E67" s="95" t="str">
        <x:v>Comparison</x:v>
      </x:c>
      <x:c r="F67" s="95" t="str">
        <x:v>Air Fryer vs Toaster Oven</x:v>
      </x:c>
      <x:c r="G67" s="95" t="str">
        <x:v>Not Started</x:v>
      </x:c>
      <x:c r="H67" s="95" t="str"/>
      <x:c r="I67" s="95" t="str"/>
      <x:c r="J67" s="95" t="str"/>
      <x:c r="K67" s="95" t="str">
        <x:v>No</x:v>
      </x:c>
      <x:c r="L67" s="95" t="str">
        <x:v>No</x:v>
      </x:c>
      <x:c r="M67" s="114" t="str"/>
      <x:c r="N67" s="101" t="str"/>
    </x:row>
    <x:row r="68">
      <x:c r="A68" s="100" t="n">
        <x:v>67</x:v>
      </x:c>
      <x:c r="B68" s="95" t="str">
        <x:v>BL-C03</x:v>
      </x:c>
      <x:c r="C68" s="95" t="str">
        <x:v>P2</x:v>
      </x:c>
      <x:c r="D68" s="95" t="str">
        <x:v>Blenders</x:v>
      </x:c>
      <x:c r="E68" s="95" t="str">
        <x:v>Comparison</x:v>
      </x:c>
      <x:c r="F68" s="95" t="str">
        <x:v>Personal Blender vs Full-Size Blender</x:v>
      </x:c>
      <x:c r="G68" s="95" t="str">
        <x:v>Not Started</x:v>
      </x:c>
      <x:c r="H68" s="95" t="str"/>
      <x:c r="I68" s="95" t="str"/>
      <x:c r="J68" s="95" t="str"/>
      <x:c r="K68" s="95" t="str">
        <x:v>No</x:v>
      </x:c>
      <x:c r="L68" s="95" t="str">
        <x:v>No</x:v>
      </x:c>
      <x:c r="M68" s="114" t="str"/>
      <x:c r="N68" s="101" t="str"/>
    </x:row>
    <x:row r="69">
      <x:c r="A69" s="100" t="n">
        <x:v>68</x:v>
      </x:c>
      <x:c r="B69" s="95" t="str">
        <x:v>BL-C04</x:v>
      </x:c>
      <x:c r="C69" s="95" t="str">
        <x:v>P2</x:v>
      </x:c>
      <x:c r="D69" s="95" t="str">
        <x:v>Blenders</x:v>
      </x:c>
      <x:c r="E69" s="95" t="str">
        <x:v>Comparison</x:v>
      </x:c>
      <x:c r="F69" s="95" t="str">
        <x:v>Glass vs Plastic Blender Jar</x:v>
      </x:c>
      <x:c r="G69" s="95" t="str">
        <x:v>Not Started</x:v>
      </x:c>
      <x:c r="H69" s="95" t="str"/>
      <x:c r="I69" s="95" t="str"/>
      <x:c r="J69" s="95" t="str"/>
      <x:c r="K69" s="95" t="str">
        <x:v>No</x:v>
      </x:c>
      <x:c r="L69" s="95" t="str">
        <x:v>No</x:v>
      </x:c>
      <x:c r="M69" s="114" t="str"/>
      <x:c r="N69" s="101" t="str"/>
    </x:row>
    <x:row r="70">
      <x:c r="A70" s="100" t="n">
        <x:v>69</x:v>
      </x:c>
      <x:c r="B70" s="95" t="str">
        <x:v>BL-C05</x:v>
      </x:c>
      <x:c r="C70" s="95" t="str">
        <x:v>P2</x:v>
      </x:c>
      <x:c r="D70" s="95" t="str">
        <x:v>Blenders</x:v>
      </x:c>
      <x:c r="E70" s="95" t="str">
        <x:v>Comparison</x:v>
      </x:c>
      <x:c r="F70" s="95" t="str">
        <x:v>1000-Watt vs 1500-Watt Blender</x:v>
      </x:c>
      <x:c r="G70" s="95" t="str">
        <x:v>Not Started</x:v>
      </x:c>
      <x:c r="H70" s="95" t="str"/>
      <x:c r="I70" s="95" t="str"/>
      <x:c r="J70" s="95" t="str"/>
      <x:c r="K70" s="95" t="str">
        <x:v>No</x:v>
      </x:c>
      <x:c r="L70" s="95" t="str">
        <x:v>No</x:v>
      </x:c>
      <x:c r="M70" s="114" t="str"/>
      <x:c r="N70" s="101" t="str"/>
    </x:row>
    <x:row r="71">
      <x:c r="A71" s="100" t="n">
        <x:v>70</x:v>
      </x:c>
      <x:c r="B71" s="95" t="str">
        <x:v>EK-C01</x:v>
      </x:c>
      <x:c r="C71" s="95" t="str">
        <x:v>P2</x:v>
      </x:c>
      <x:c r="D71" s="95" t="str">
        <x:v>Electric Kettles</x:v>
      </x:c>
      <x:c r="E71" s="95" t="str">
        <x:v>Comparison</x:v>
      </x:c>
      <x:c r="F71" s="95" t="str">
        <x:v>Gooseneck vs Regular Kettle</x:v>
      </x:c>
      <x:c r="G71" s="95" t="str">
        <x:v>Not Started</x:v>
      </x:c>
      <x:c r="H71" s="95" t="str"/>
      <x:c r="I71" s="95" t="str"/>
      <x:c r="J71" s="95" t="str"/>
      <x:c r="K71" s="95" t="str">
        <x:v>No</x:v>
      </x:c>
      <x:c r="L71" s="95" t="str">
        <x:v>No</x:v>
      </x:c>
      <x:c r="M71" s="114" t="str"/>
      <x:c r="N71" s="101" t="str"/>
    </x:row>
    <x:row r="72">
      <x:c r="A72" s="100" t="n">
        <x:v>71</x:v>
      </x:c>
      <x:c r="B72" s="95" t="str">
        <x:v>EK-C04</x:v>
      </x:c>
      <x:c r="C72" s="95" t="str">
        <x:v>P2</x:v>
      </x:c>
      <x:c r="D72" s="95" t="str">
        <x:v>Electric Kettles</x:v>
      </x:c>
      <x:c r="E72" s="95" t="str">
        <x:v>Comparison</x:v>
      </x:c>
      <x:c r="F72" s="95" t="str">
        <x:v>Electric Kettle vs Stovetop Kettle</x:v>
      </x:c>
      <x:c r="G72" s="95" t="str">
        <x:v>Not Started</x:v>
      </x:c>
      <x:c r="H72" s="95" t="str"/>
      <x:c r="I72" s="95" t="str"/>
      <x:c r="J72" s="95" t="str"/>
      <x:c r="K72" s="95" t="str">
        <x:v>No</x:v>
      </x:c>
      <x:c r="L72" s="95" t="str">
        <x:v>No</x:v>
      </x:c>
      <x:c r="M72" s="114" t="str"/>
      <x:c r="N72" s="101" t="str"/>
    </x:row>
    <x:row r="73">
      <x:c r="A73" s="100" t="n">
        <x:v>72</x:v>
      </x:c>
      <x:c r="B73" s="95" t="str">
        <x:v>FP-C03</x:v>
      </x:c>
      <x:c r="C73" s="95" t="str">
        <x:v>P2</x:v>
      </x:c>
      <x:c r="D73" s="95" t="str">
        <x:v>Food Processors</x:v>
      </x:c>
      <x:c r="E73" s="95" t="str">
        <x:v>Comparison</x:v>
      </x:c>
      <x:c r="F73" s="95" t="str">
        <x:v>Food Processor vs Blender</x:v>
      </x:c>
      <x:c r="G73" s="95" t="str">
        <x:v>Not Started</x:v>
      </x:c>
      <x:c r="H73" s="95" t="str"/>
      <x:c r="I73" s="95" t="str"/>
      <x:c r="J73" s="95" t="str"/>
      <x:c r="K73" s="95" t="str">
        <x:v>No</x:v>
      </x:c>
      <x:c r="L73" s="95" t="str">
        <x:v>No</x:v>
      </x:c>
      <x:c r="M73" s="114" t="str"/>
      <x:c r="N73" s="101" t="str"/>
    </x:row>
    <x:row r="74">
      <x:c r="A74" s="100" t="n">
        <x:v>73</x:v>
      </x:c>
      <x:c r="B74" s="95" t="str">
        <x:v>TO-C01</x:v>
      </x:c>
      <x:c r="C74" s="95" t="str">
        <x:v>P2</x:v>
      </x:c>
      <x:c r="D74" s="95" t="str">
        <x:v>Toaster Ovens</x:v>
      </x:c>
      <x:c r="E74" s="95" t="str">
        <x:v>Comparison</x:v>
      </x:c>
      <x:c r="F74" s="95" t="str">
        <x:v>Toaster Oven vs Conventional Oven</x:v>
      </x:c>
      <x:c r="G74" s="95" t="str">
        <x:v>Not Started</x:v>
      </x:c>
      <x:c r="H74" s="95" t="str"/>
      <x:c r="I74" s="95" t="str"/>
      <x:c r="J74" s="95" t="str"/>
      <x:c r="K74" s="95" t="str">
        <x:v>No</x:v>
      </x:c>
      <x:c r="L74" s="95" t="str">
        <x:v>No</x:v>
      </x:c>
      <x:c r="M74" s="114" t="str"/>
      <x:c r="N74" s="101" t="str"/>
    </x:row>
    <x:row r="75">
      <x:c r="A75" s="100" t="n">
        <x:v>74</x:v>
      </x:c>
      <x:c r="B75" s="95" t="str">
        <x:v>TO-C02</x:v>
      </x:c>
      <x:c r="C75" s="95" t="str">
        <x:v>P2</x:v>
      </x:c>
      <x:c r="D75" s="95" t="str">
        <x:v>Toaster Ovens</x:v>
      </x:c>
      <x:c r="E75" s="95" t="str">
        <x:v>Comparison</x:v>
      </x:c>
      <x:c r="F75" s="95" t="str">
        <x:v>Convection Toaster Oven vs Air Fryer</x:v>
      </x:c>
      <x:c r="G75" s="95" t="str">
        <x:v>Not Started</x:v>
      </x:c>
      <x:c r="H75" s="95" t="str"/>
      <x:c r="I75" s="95" t="str"/>
      <x:c r="J75" s="95" t="str"/>
      <x:c r="K75" s="95" t="str">
        <x:v>No</x:v>
      </x:c>
      <x:c r="L75" s="95" t="str">
        <x:v>No</x:v>
      </x:c>
      <x:c r="M75" s="114" t="str"/>
      <x:c r="N75" s="101" t="str"/>
    </x:row>
    <x:row r="76">
      <x:c r="A76" s="100" t="n">
        <x:v>75</x:v>
      </x:c>
      <x:c r="B76" s="95" t="str">
        <x:v>AF-V03</x:v>
      </x:c>
      <x:c r="C76" s="95" t="str">
        <x:v>P2</x:v>
      </x:c>
      <x:c r="D76" s="95" t="str">
        <x:v>Air Fryers</x:v>
      </x:c>
      <x:c r="E76" s="95" t="str">
        <x:v>Single Review</x:v>
      </x:c>
      <x:c r="F76" s="95" t="str">
        <x:v>Instant Vortex Plus Air Fryer Review</x:v>
      </x:c>
      <x:c r="G76" s="95" t="str">
        <x:v>Not Started</x:v>
      </x:c>
      <x:c r="H76" s="95" t="str"/>
      <x:c r="I76" s="95" t="str"/>
      <x:c r="J76" s="95" t="str"/>
      <x:c r="K76" s="95" t="str">
        <x:v>No</x:v>
      </x:c>
      <x:c r="L76" s="95" t="str">
        <x:v>No</x:v>
      </x:c>
      <x:c r="M76" s="114" t="str"/>
      <x:c r="N76" s="101" t="str"/>
    </x:row>
    <x:row r="77">
      <x:c r="A77" s="100" t="n">
        <x:v>76</x:v>
      </x:c>
      <x:c r="B77" s="95" t="str">
        <x:v>AF-V04</x:v>
      </x:c>
      <x:c r="C77" s="95" t="str">
        <x:v>P2</x:v>
      </x:c>
      <x:c r="D77" s="95" t="str">
        <x:v>Air Fryers</x:v>
      </x:c>
      <x:c r="E77" s="95" t="str">
        <x:v>Single Review</x:v>
      </x:c>
      <x:c r="F77" s="95" t="str">
        <x:v>Ninja Foodi DualZone Air Fryer Review</x:v>
      </x:c>
      <x:c r="G77" s="95" t="str">
        <x:v>Not Started</x:v>
      </x:c>
      <x:c r="H77" s="95" t="str"/>
      <x:c r="I77" s="95" t="str"/>
      <x:c r="J77" s="95" t="str"/>
      <x:c r="K77" s="95" t="str">
        <x:v>No</x:v>
      </x:c>
      <x:c r="L77" s="95" t="str">
        <x:v>No</x:v>
      </x:c>
      <x:c r="M77" s="114" t="str"/>
      <x:c r="N77" s="101" t="str"/>
    </x:row>
    <x:row r="78">
      <x:c r="A78" s="100" t="n">
        <x:v>77</x:v>
      </x:c>
      <x:c r="B78" s="95" t="str">
        <x:v>AF-V05</x:v>
      </x:c>
      <x:c r="C78" s="95" t="str">
        <x:v>P2</x:v>
      </x:c>
      <x:c r="D78" s="95" t="str">
        <x:v>Air Fryers</x:v>
      </x:c>
      <x:c r="E78" s="95" t="str">
        <x:v>Single Review</x:v>
      </x:c>
      <x:c r="F78" s="95" t="str">
        <x:v>Cuisinart Air Fryer Toaster Oven Review</x:v>
      </x:c>
      <x:c r="G78" s="95" t="str">
        <x:v>Not Started</x:v>
      </x:c>
      <x:c r="H78" s="95" t="str"/>
      <x:c r="I78" s="95" t="str"/>
      <x:c r="J78" s="95" t="str"/>
      <x:c r="K78" s="95" t="str">
        <x:v>No</x:v>
      </x:c>
      <x:c r="L78" s="95" t="str">
        <x:v>No</x:v>
      </x:c>
      <x:c r="M78" s="114" t="str"/>
      <x:c r="N78" s="101" t="str"/>
    </x:row>
    <x:row r="79">
      <x:c r="A79" s="100" t="n">
        <x:v>78</x:v>
      </x:c>
      <x:c r="B79" s="95" t="str">
        <x:v>BL-V03</x:v>
      </x:c>
      <x:c r="C79" s="95" t="str">
        <x:v>P2</x:v>
      </x:c>
      <x:c r="D79" s="95" t="str">
        <x:v>Blenders</x:v>
      </x:c>
      <x:c r="E79" s="95" t="str">
        <x:v>Single Review</x:v>
      </x:c>
      <x:c r="F79" s="95" t="str">
        <x:v>Vitamix E310 Review</x:v>
      </x:c>
      <x:c r="G79" s="95" t="str">
        <x:v>Not Started</x:v>
      </x:c>
      <x:c r="H79" s="95" t="str"/>
      <x:c r="I79" s="95" t="str"/>
      <x:c r="J79" s="95" t="str"/>
      <x:c r="K79" s="95" t="str">
        <x:v>No</x:v>
      </x:c>
      <x:c r="L79" s="95" t="str">
        <x:v>No</x:v>
      </x:c>
      <x:c r="M79" s="114" t="str"/>
      <x:c r="N79" s="101" t="str"/>
    </x:row>
    <x:row r="80">
      <x:c r="A80" s="100" t="n">
        <x:v>79</x:v>
      </x:c>
      <x:c r="B80" s="95" t="str">
        <x:v>BL-V04</x:v>
      </x:c>
      <x:c r="C80" s="95" t="str">
        <x:v>P2</x:v>
      </x:c>
      <x:c r="D80" s="95" t="str">
        <x:v>Blenders</x:v>
      </x:c>
      <x:c r="E80" s="95" t="str">
        <x:v>Single Review</x:v>
      </x:c>
      <x:c r="F80" s="95" t="str">
        <x:v>Ninja Foodi Power Blender Review</x:v>
      </x:c>
      <x:c r="G80" s="95" t="str">
        <x:v>Not Started</x:v>
      </x:c>
      <x:c r="H80" s="95" t="str"/>
      <x:c r="I80" s="95" t="str"/>
      <x:c r="J80" s="95" t="str"/>
      <x:c r="K80" s="95" t="str">
        <x:v>No</x:v>
      </x:c>
      <x:c r="L80" s="95" t="str">
        <x:v>No</x:v>
      </x:c>
      <x:c r="M80" s="114" t="str"/>
      <x:c r="N80" s="101" t="str"/>
    </x:row>
    <x:row r="81">
      <x:c r="A81" s="100" t="n">
        <x:v>80</x:v>
      </x:c>
      <x:c r="B81" s="95" t="str">
        <x:v>EK-V01</x:v>
      </x:c>
      <x:c r="C81" s="95" t="str">
        <x:v>P2</x:v>
      </x:c>
      <x:c r="D81" s="95" t="str">
        <x:v>Electric Kettles</x:v>
      </x:c>
      <x:c r="E81" s="95" t="str">
        <x:v>Single Review</x:v>
      </x:c>
      <x:c r="F81" s="95" t="str">
        <x:v>Fellow Stagg EKG Review</x:v>
      </x:c>
      <x:c r="G81" s="95" t="str">
        <x:v>Not Started</x:v>
      </x:c>
      <x:c r="H81" s="95" t="str"/>
      <x:c r="I81" s="95" t="str"/>
      <x:c r="J81" s="95" t="str"/>
      <x:c r="K81" s="95" t="str">
        <x:v>No</x:v>
      </x:c>
      <x:c r="L81" s="95" t="str">
        <x:v>No</x:v>
      </x:c>
      <x:c r="M81" s="114" t="str"/>
      <x:c r="N81" s="101" t="str"/>
    </x:row>
    <x:row r="82">
      <x:c r="A82" s="100" t="n">
        <x:v>81</x:v>
      </x:c>
      <x:c r="B82" s="95" t="str">
        <x:v>TO-V01</x:v>
      </x:c>
      <x:c r="C82" s="95" t="str">
        <x:v>P2</x:v>
      </x:c>
      <x:c r="D82" s="95" t="str">
        <x:v>Toaster Ovens</x:v>
      </x:c>
      <x:c r="E82" s="95" t="str">
        <x:v>Single Review</x:v>
      </x:c>
      <x:c r="F82" s="95" t="str">
        <x:v>Breville Smart Oven Air Fryer Pro Review</x:v>
      </x:c>
      <x:c r="G82" s="95" t="str">
        <x:v>Not Started</x:v>
      </x:c>
      <x:c r="H82" s="95" t="str"/>
      <x:c r="I82" s="95" t="str"/>
      <x:c r="J82" s="95" t="str"/>
      <x:c r="K82" s="95" t="str">
        <x:v>No</x:v>
      </x:c>
      <x:c r="L82" s="95" t="str">
        <x:v>No</x:v>
      </x:c>
      <x:c r="M82" s="114" t="str"/>
      <x:c r="N82" s="101" t="str"/>
    </x:row>
    <x:row r="83">
      <x:c r="A83" s="100" t="n">
        <x:v>82</x:v>
      </x:c>
      <x:c r="B83" s="95" t="str">
        <x:v>BL-G03</x:v>
      </x:c>
      <x:c r="C83" s="95" t="str">
        <x:v>P2</x:v>
      </x:c>
      <x:c r="D83" s="95" t="str">
        <x:v>Blenders</x:v>
      </x:c>
      <x:c r="E83" s="95" t="str">
        <x:v>Buying Guide</x:v>
      </x:c>
      <x:c r="F83" s="95" t="str">
        <x:v>How to Choose a Blender for Smoothies</x:v>
      </x:c>
      <x:c r="G83" s="95" t="str">
        <x:v>Not Started</x:v>
      </x:c>
      <x:c r="H83" s="95" t="str"/>
      <x:c r="I83" s="95" t="str"/>
      <x:c r="J83" s="95" t="str"/>
      <x:c r="K83" s="95" t="str">
        <x:v>No</x:v>
      </x:c>
      <x:c r="L83" s="95" t="str">
        <x:v>No</x:v>
      </x:c>
      <x:c r="M83" s="114" t="str"/>
      <x:c r="N83" s="101" t="str"/>
    </x:row>
    <x:row r="84">
      <x:c r="A84" s="100" t="n">
        <x:v>83</x:v>
      </x:c>
      <x:c r="B84" s="95" t="str">
        <x:v>CC-G04</x:v>
      </x:c>
      <x:c r="C84" s="95" t="str">
        <x:v>P2</x:v>
      </x:c>
      <x:c r="D84" s="95" t="str">
        <x:v>Cross-Category</x:v>
      </x:c>
      <x:c r="E84" s="95" t="str">
        <x:v>Buying Guide</x:v>
      </x:c>
      <x:c r="F84" s="95" t="str">
        <x:v>How to Choose BPA-Free and Food-Safe Appliance Materials</x:v>
      </x:c>
      <x:c r="G84" s="95" t="str">
        <x:v>Not Started</x:v>
      </x:c>
      <x:c r="H84" s="95" t="str"/>
      <x:c r="I84" s="95" t="str"/>
      <x:c r="J84" s="95" t="str"/>
      <x:c r="K84" s="95" t="str">
        <x:v>No</x:v>
      </x:c>
      <x:c r="L84" s="95" t="str">
        <x:v>No</x:v>
      </x:c>
      <x:c r="M84" s="114" t="str"/>
      <x:c r="N84" s="101" t="str"/>
    </x:row>
    <x:row r="85">
      <x:c r="A85" s="100" t="n">
        <x:v>84</x:v>
      </x:c>
      <x:c r="B85" s="95" t="str">
        <x:v>EK-G01</x:v>
      </x:c>
      <x:c r="C85" s="95" t="str">
        <x:v>P2</x:v>
      </x:c>
      <x:c r="D85" s="95" t="str">
        <x:v>Electric Kettles</x:v>
      </x:c>
      <x:c r="E85" s="95" t="str">
        <x:v>Buying Guide</x:v>
      </x:c>
      <x:c r="F85" s="95" t="str">
        <x:v>Electric Kettle Buying Guide</x:v>
      </x:c>
      <x:c r="G85" s="95" t="str">
        <x:v>Not Started</x:v>
      </x:c>
      <x:c r="H85" s="95" t="str"/>
      <x:c r="I85" s="95" t="str"/>
      <x:c r="J85" s="95" t="str"/>
      <x:c r="K85" s="95" t="str">
        <x:v>No</x:v>
      </x:c>
      <x:c r="L85" s="95" t="str">
        <x:v>No</x:v>
      </x:c>
      <x:c r="M85" s="114" t="str"/>
      <x:c r="N85" s="101" t="str"/>
    </x:row>
    <x:row r="86">
      <x:c r="A86" s="100" t="n">
        <x:v>85</x:v>
      </x:c>
      <x:c r="B86" s="95" t="str">
        <x:v>TO-G01</x:v>
      </x:c>
      <x:c r="C86" s="95" t="str">
        <x:v>P2</x:v>
      </x:c>
      <x:c r="D86" s="95" t="str">
        <x:v>Toaster Ovens</x:v>
      </x:c>
      <x:c r="E86" s="95" t="str">
        <x:v>Buying Guide</x:v>
      </x:c>
      <x:c r="F86" s="95" t="str">
        <x:v>Toaster Oven Buying Guide</x:v>
      </x:c>
      <x:c r="G86" s="95" t="str">
        <x:v>Not Started</x:v>
      </x:c>
      <x:c r="H86" s="95" t="str"/>
      <x:c r="I86" s="95" t="str"/>
      <x:c r="J86" s="95" t="str"/>
      <x:c r="K86" s="95" t="str">
        <x:v>No</x:v>
      </x:c>
      <x:c r="L86" s="95" t="str">
        <x:v>No</x:v>
      </x:c>
      <x:c r="M86" s="114" t="str"/>
      <x:c r="N86" s="101" t="str"/>
    </x:row>
    <x:row r="87">
      <x:c r="A87" s="100" t="n">
        <x:v>86</x:v>
      </x:c>
      <x:c r="B87" s="95" t="str">
        <x:v>AF-R20</x:v>
      </x:c>
      <x:c r="C87" s="95" t="str">
        <x:v>P2</x:v>
      </x:c>
      <x:c r="D87" s="95" t="str">
        <x:v>Air Fryers</x:v>
      </x:c>
      <x:c r="E87" s="95" t="str">
        <x:v>Accessory Roundup</x:v>
      </x:c>
      <x:c r="F87" s="95" t="str">
        <x:v>Best Air Fryer Accessories</x:v>
      </x:c>
      <x:c r="G87" s="95" t="str">
        <x:v>Not Started</x:v>
      </x:c>
      <x:c r="H87" s="95" t="str"/>
      <x:c r="I87" s="95" t="str"/>
      <x:c r="J87" s="95" t="str"/>
      <x:c r="K87" s="95" t="str">
        <x:v>No</x:v>
      </x:c>
      <x:c r="L87" s="95" t="str">
        <x:v>No</x:v>
      </x:c>
      <x:c r="M87" s="114" t="str"/>
      <x:c r="N87" s="101" t="str"/>
    </x:row>
    <x:row r="88">
      <x:c r="A88" s="100" t="n">
        <x:v>87</x:v>
      </x:c>
      <x:c r="B88" s="95" t="str">
        <x:v>CC-G06</x:v>
      </x:c>
      <x:c r="C88" s="95" t="str">
        <x:v>P2</x:v>
      </x:c>
      <x:c r="D88" s="95" t="str">
        <x:v>Cross-Category</x:v>
      </x:c>
      <x:c r="E88" s="95" t="str">
        <x:v>Accessory Roundup</x:v>
      </x:c>
      <x:c r="F88" s="95" t="str">
        <x:v>Best Heat-Resistant Counter Mats for Kitchen Appliances</x:v>
      </x:c>
      <x:c r="G88" s="95" t="str">
        <x:v>Not Started</x:v>
      </x:c>
      <x:c r="H88" s="95" t="str"/>
      <x:c r="I88" s="95" t="str"/>
      <x:c r="J88" s="95" t="str"/>
      <x:c r="K88" s="95" t="str">
        <x:v>No</x:v>
      </x:c>
      <x:c r="L88" s="95" t="str">
        <x:v>No</x:v>
      </x:c>
      <x:c r="M88" s="114" t="str"/>
      <x:c r="N88" s="101" t="str"/>
    </x:row>
    <x:row r="89">
      <x:c r="A89" s="100" t="n">
        <x:v>88</x:v>
      </x:c>
      <x:c r="B89" s="95" t="str">
        <x:v>AF-G03</x:v>
      </x:c>
      <x:c r="C89" s="95" t="str">
        <x:v>P2</x:v>
      </x:c>
      <x:c r="D89" s="95" t="str">
        <x:v>Air Fryers</x:v>
      </x:c>
      <x:c r="E89" s="95" t="str">
        <x:v>Informational</x:v>
      </x:c>
      <x:c r="F89" s="95" t="str">
        <x:v>How Many Watts Does an Air Fryer Use?</x:v>
      </x:c>
      <x:c r="G89" s="95" t="str">
        <x:v>Not Started</x:v>
      </x:c>
      <x:c r="H89" s="95" t="str"/>
      <x:c r="I89" s="95" t="str"/>
      <x:c r="J89" s="95" t="str"/>
      <x:c r="K89" s="95" t="str">
        <x:v>No</x:v>
      </x:c>
      <x:c r="L89" s="95" t="str">
        <x:v>No</x:v>
      </x:c>
      <x:c r="M89" s="114" t="str"/>
      <x:c r="N89" s="101" t="str"/>
    </x:row>
    <x:row r="90">
      <x:c r="A90" s="100" t="n">
        <x:v>89</x:v>
      </x:c>
      <x:c r="B90" s="95" t="str">
        <x:v>AF-G04</x:v>
      </x:c>
      <x:c r="C90" s="95" t="str">
        <x:v>P2</x:v>
      </x:c>
      <x:c r="D90" s="95" t="str">
        <x:v>Air Fryers</x:v>
      </x:c>
      <x:c r="E90" s="95" t="str">
        <x:v>Informational</x:v>
      </x:c>
      <x:c r="F90" s="95" t="str">
        <x:v>Do You Need to Preheat an Air Fryer?</x:v>
      </x:c>
      <x:c r="G90" s="95" t="str">
        <x:v>Not Started</x:v>
      </x:c>
      <x:c r="H90" s="95" t="str"/>
      <x:c r="I90" s="95" t="str"/>
      <x:c r="J90" s="95" t="str"/>
      <x:c r="K90" s="95" t="str">
        <x:v>No</x:v>
      </x:c>
      <x:c r="L90" s="95" t="str">
        <x:v>No</x:v>
      </x:c>
      <x:c r="M90" s="114" t="str"/>
      <x:c r="N90" s="101" t="str"/>
    </x:row>
    <x:row r="91">
      <x:c r="A91" s="100" t="n">
        <x:v>90</x:v>
      </x:c>
      <x:c r="B91" s="95" t="str">
        <x:v>AF-G05</x:v>
      </x:c>
      <x:c r="C91" s="95" t="str">
        <x:v>P2</x:v>
      </x:c>
      <x:c r="D91" s="95" t="str">
        <x:v>Air Fryers</x:v>
      </x:c>
      <x:c r="E91" s="95" t="str">
        <x:v>Informational</x:v>
      </x:c>
      <x:c r="F91" s="95" t="str">
        <x:v>Can You Put Foil in an Air Fryer?</x:v>
      </x:c>
      <x:c r="G91" s="95" t="str">
        <x:v>Not Started</x:v>
      </x:c>
      <x:c r="H91" s="95" t="str"/>
      <x:c r="I91" s="95" t="str"/>
      <x:c r="J91" s="95" t="str"/>
      <x:c r="K91" s="95" t="str">
        <x:v>No</x:v>
      </x:c>
      <x:c r="L91" s="95" t="str">
        <x:v>No</x:v>
      </x:c>
      <x:c r="M91" s="114" t="str"/>
      <x:c r="N91" s="101" t="str"/>
    </x:row>
    <x:row r="92">
      <x:c r="A92" s="100" t="n">
        <x:v>91</x:v>
      </x:c>
      <x:c r="B92" s="95" t="str">
        <x:v>AF-G06</x:v>
      </x:c>
      <x:c r="C92" s="95" t="str">
        <x:v>P2</x:v>
      </x:c>
      <x:c r="D92" s="95" t="str">
        <x:v>Air Fryers</x:v>
      </x:c>
      <x:c r="E92" s="95" t="str">
        <x:v>Informational</x:v>
      </x:c>
      <x:c r="F92" s="95" t="str">
        <x:v>Can You Put Parchment Paper in an Air Fryer?</x:v>
      </x:c>
      <x:c r="G92" s="95" t="str">
        <x:v>Not Started</x:v>
      </x:c>
      <x:c r="H92" s="95" t="str"/>
      <x:c r="I92" s="95" t="str"/>
      <x:c r="J92" s="95" t="str"/>
      <x:c r="K92" s="95" t="str">
        <x:v>No</x:v>
      </x:c>
      <x:c r="L92" s="95" t="str">
        <x:v>No</x:v>
      </x:c>
      <x:c r="M92" s="114" t="str"/>
      <x:c r="N92" s="101" t="str"/>
    </x:row>
    <x:row r="93">
      <x:c r="A93" s="100" t="n">
        <x:v>92</x:v>
      </x:c>
      <x:c r="B93" s="95" t="str">
        <x:v>AF-G09</x:v>
      </x:c>
      <x:c r="C93" s="95" t="str">
        <x:v>P2</x:v>
      </x:c>
      <x:c r="D93" s="95" t="str">
        <x:v>Air Fryers</x:v>
      </x:c>
      <x:c r="E93" s="95" t="str">
        <x:v>Informational</x:v>
      </x:c>
      <x:c r="F93" s="95" t="str">
        <x:v>Are Air Fryers Worth It?</x:v>
      </x:c>
      <x:c r="G93" s="95" t="str">
        <x:v>Not Started</x:v>
      </x:c>
      <x:c r="H93" s="95" t="str"/>
      <x:c r="I93" s="95" t="str"/>
      <x:c r="J93" s="95" t="str"/>
      <x:c r="K93" s="95" t="str">
        <x:v>No</x:v>
      </x:c>
      <x:c r="L93" s="95" t="str">
        <x:v>No</x:v>
      </x:c>
      <x:c r="M93" s="114" t="str"/>
      <x:c r="N93" s="101" t="str"/>
    </x:row>
    <x:row r="94">
      <x:c r="A94" s="100" t="n">
        <x:v>93</x:v>
      </x:c>
      <x:c r="B94" s="95" t="str">
        <x:v>BL-G02</x:v>
      </x:c>
      <x:c r="C94" s="95" t="str">
        <x:v>P2</x:v>
      </x:c>
      <x:c r="D94" s="95" t="str">
        <x:v>Blenders</x:v>
      </x:c>
      <x:c r="E94" s="95" t="str">
        <x:v>Informational</x:v>
      </x:c>
      <x:c r="F94" s="95" t="str">
        <x:v>How Many Watts Should a Blender Have?</x:v>
      </x:c>
      <x:c r="G94" s="95" t="str">
        <x:v>Not Started</x:v>
      </x:c>
      <x:c r="H94" s="95" t="str"/>
      <x:c r="I94" s="95" t="str"/>
      <x:c r="J94" s="95" t="str"/>
      <x:c r="K94" s="95" t="str">
        <x:v>No</x:v>
      </x:c>
      <x:c r="L94" s="95" t="str">
        <x:v>No</x:v>
      </x:c>
      <x:c r="M94" s="114" t="str"/>
      <x:c r="N94" s="101" t="str"/>
    </x:row>
    <x:row r="95">
      <x:c r="A95" s="100" t="n">
        <x:v>94</x:v>
      </x:c>
      <x:c r="B95" s="95" t="str">
        <x:v>BL-G07</x:v>
      </x:c>
      <x:c r="C95" s="95" t="str">
        <x:v>P2</x:v>
      </x:c>
      <x:c r="D95" s="95" t="str">
        <x:v>Blenders</x:v>
      </x:c>
      <x:c r="E95" s="95" t="str">
        <x:v>Informational</x:v>
      </x:c>
      <x:c r="F95" s="95" t="str">
        <x:v>Can a Blender Crush Ice?</x:v>
      </x:c>
      <x:c r="G95" s="95" t="str">
        <x:v>Not Started</x:v>
      </x:c>
      <x:c r="H95" s="95" t="str"/>
      <x:c r="I95" s="95" t="str"/>
      <x:c r="J95" s="95" t="str"/>
      <x:c r="K95" s="95" t="str">
        <x:v>No</x:v>
      </x:c>
      <x:c r="L95" s="95" t="str">
        <x:v>No</x:v>
      </x:c>
      <x:c r="M95" s="114" t="str"/>
      <x:c r="N95" s="101" t="str"/>
    </x:row>
    <x:row r="96">
      <x:c r="A96" s="100" t="n">
        <x:v>95</x:v>
      </x:c>
      <x:c r="B96" s="95" t="str">
        <x:v>BL-G08</x:v>
      </x:c>
      <x:c r="C96" s="95" t="str">
        <x:v>P2</x:v>
      </x:c>
      <x:c r="D96" s="95" t="str">
        <x:v>Blenders</x:v>
      </x:c>
      <x:c r="E96" s="95" t="str">
        <x:v>Informational</x:v>
      </x:c>
      <x:c r="F96" s="95" t="str">
        <x:v>Can You Put Hot Liquid in a Blender?</x:v>
      </x:c>
      <x:c r="G96" s="95" t="str">
        <x:v>Not Started</x:v>
      </x:c>
      <x:c r="H96" s="95" t="str"/>
      <x:c r="I96" s="95" t="str"/>
      <x:c r="J96" s="95" t="str"/>
      <x:c r="K96" s="95" t="str">
        <x:v>No</x:v>
      </x:c>
      <x:c r="L96" s="95" t="str">
        <x:v>No</x:v>
      </x:c>
      <x:c r="M96" s="114" t="str"/>
      <x:c r="N96" s="101" t="str"/>
    </x:row>
    <x:row r="97">
      <x:c r="A97" s="100" t="n">
        <x:v>96</x:v>
      </x:c>
      <x:c r="B97" s="95" t="str">
        <x:v>CC-G03</x:v>
      </x:c>
      <x:c r="C97" s="95" t="str">
        <x:v>P2</x:v>
      </x:c>
      <x:c r="D97" s="95" t="str">
        <x:v>Cross-Category</x:v>
      </x:c>
      <x:c r="E97" s="95" t="str">
        <x:v>Informational</x:v>
      </x:c>
      <x:c r="F97" s="95" t="str">
        <x:v>Kitchen Appliance Wattage and Circuit Guide</x:v>
      </x:c>
      <x:c r="G97" s="95" t="str">
        <x:v>Not Started</x:v>
      </x:c>
      <x:c r="H97" s="95" t="str"/>
      <x:c r="I97" s="95" t="str"/>
      <x:c r="J97" s="95" t="str"/>
      <x:c r="K97" s="95" t="str">
        <x:v>No</x:v>
      </x:c>
      <x:c r="L97" s="95" t="str">
        <x:v>No</x:v>
      </x:c>
      <x:c r="M97" s="114" t="str"/>
      <x:c r="N97" s="101" t="str"/>
    </x:row>
    <x:row r="98">
      <x:c r="A98" s="100" t="n">
        <x:v>97</x:v>
      </x:c>
      <x:c r="B98" s="95" t="str">
        <x:v>CC-G05</x:v>
      </x:c>
      <x:c r="C98" s="95" t="str">
        <x:v>P2</x:v>
      </x:c>
      <x:c r="D98" s="95" t="str">
        <x:v>Cross-Category</x:v>
      </x:c>
      <x:c r="E98" s="95" t="str">
        <x:v>Informational</x:v>
      </x:c>
      <x:c r="F98" s="95" t="str">
        <x:v>How Much Counter Space Do Small Appliances Need?</x:v>
      </x:c>
      <x:c r="G98" s="95" t="str">
        <x:v>Not Started</x:v>
      </x:c>
      <x:c r="H98" s="95" t="str"/>
      <x:c r="I98" s="95" t="str"/>
      <x:c r="J98" s="95" t="str"/>
      <x:c r="K98" s="95" t="str">
        <x:v>No</x:v>
      </x:c>
      <x:c r="L98" s="95" t="str">
        <x:v>No</x:v>
      </x:c>
      <x:c r="M98" s="114" t="str"/>
      <x:c r="N98" s="101" t="str"/>
    </x:row>
    <x:row r="99">
      <x:c r="A99" s="100" t="n">
        <x:v>98</x:v>
      </x:c>
      <x:c r="B99" s="95" t="str">
        <x:v>AF-G07</x:v>
      </x:c>
      <x:c r="C99" s="95" t="str">
        <x:v>P2</x:v>
      </x:c>
      <x:c r="D99" s="95" t="str">
        <x:v>Air Fryers</x:v>
      </x:c>
      <x:c r="E99" s="95" t="str">
        <x:v>How-To</x:v>
      </x:c>
      <x:c r="F99" s="95" t="str">
        <x:v>How to Clean an Air Fryer</x:v>
      </x:c>
      <x:c r="G99" s="95" t="str">
        <x:v>Not Started</x:v>
      </x:c>
      <x:c r="H99" s="95" t="str"/>
      <x:c r="I99" s="95" t="str"/>
      <x:c r="J99" s="95" t="str"/>
      <x:c r="K99" s="95" t="str">
        <x:v>No</x:v>
      </x:c>
      <x:c r="L99" s="95" t="str">
        <x:v>No</x:v>
      </x:c>
      <x:c r="M99" s="114" t="str"/>
      <x:c r="N99" s="101" t="str"/>
    </x:row>
    <x:row r="100">
      <x:c r="A100" s="100" t="n">
        <x:v>99</x:v>
      </x:c>
      <x:c r="B100" s="95" t="str">
        <x:v>BL-G04</x:v>
      </x:c>
      <x:c r="C100" s="95" t="str">
        <x:v>P2</x:v>
      </x:c>
      <x:c r="D100" s="95" t="str">
        <x:v>Blenders</x:v>
      </x:c>
      <x:c r="E100" s="95" t="str">
        <x:v>How-To</x:v>
      </x:c>
      <x:c r="F100" s="95" t="str">
        <x:v>How to Clean a Blender Safely</x:v>
      </x:c>
      <x:c r="G100" s="95" t="str">
        <x:v>Not Started</x:v>
      </x:c>
      <x:c r="H100" s="95" t="str"/>
      <x:c r="I100" s="95" t="str"/>
      <x:c r="J100" s="95" t="str"/>
      <x:c r="K100" s="95" t="str">
        <x:v>No</x:v>
      </x:c>
      <x:c r="L100" s="95" t="str">
        <x:v>No</x:v>
      </x:c>
      <x:c r="M100" s="114" t="str"/>
      <x:c r="N100" s="101" t="str"/>
    </x:row>
    <x:row r="101">
      <x:c r="A101" s="100" t="n">
        <x:v>100</x:v>
      </x:c>
      <x:c r="B101" s="95" t="str">
        <x:v>EK-G03</x:v>
      </x:c>
      <x:c r="C101" s="95" t="str">
        <x:v>P2</x:v>
      </x:c>
      <x:c r="D101" s="95" t="str">
        <x:v>Electric Kettles</x:v>
      </x:c>
      <x:c r="E101" s="95" t="str">
        <x:v>How-To</x:v>
      </x:c>
      <x:c r="F101" s="95" t="str">
        <x:v>How to Descale an Electric Kettle</x:v>
      </x:c>
      <x:c r="G101" s="95" t="str">
        <x:v>Not Started</x:v>
      </x:c>
      <x:c r="H101" s="95" t="str"/>
      <x:c r="I101" s="95" t="str"/>
      <x:c r="J101" s="95" t="str"/>
      <x:c r="K101" s="95" t="str">
        <x:v>No</x:v>
      </x:c>
      <x:c r="L101" s="95" t="str">
        <x:v>No</x:v>
      </x:c>
      <x:c r="M101" s="114" t="str"/>
      <x:c r="N101" s="101" t="str"/>
    </x:row>
    <x:row r="102">
      <x:c r="A102" s="100" t="n">
        <x:v>101</x:v>
      </x:c>
      <x:c r="B102" s="95" t="str">
        <x:v>CG-HUB</x:v>
      </x:c>
      <x:c r="C102" s="95" t="str">
        <x:v>P3</x:v>
      </x:c>
      <x:c r="D102" s="95" t="str">
        <x:v>Coffee Grinders</x:v>
      </x:c>
      <x:c r="E102" s="95" t="str">
        <x:v>Category Hub</x:v>
      </x:c>
      <x:c r="F102" s="95" t="str">
        <x:v>Coffee Grinder Reviews, Comparisons and Buying Guides</x:v>
      </x:c>
      <x:c r="G102" s="95" t="str">
        <x:v>Not Started</x:v>
      </x:c>
      <x:c r="H102" s="95" t="str"/>
      <x:c r="I102" s="95" t="str"/>
      <x:c r="J102" s="95" t="str"/>
      <x:c r="K102" s="95" t="str">
        <x:v>No</x:v>
      </x:c>
      <x:c r="L102" s="95" t="str">
        <x:v>No</x:v>
      </x:c>
      <x:c r="M102" s="114" t="str"/>
      <x:c r="N102" s="101" t="str"/>
    </x:row>
    <x:row r="103">
      <x:c r="A103" s="100" t="n">
        <x:v>102</x:v>
      </x:c>
      <x:c r="B103" s="95" t="str">
        <x:v>FP-HUB</x:v>
      </x:c>
      <x:c r="C103" s="95" t="str">
        <x:v>P3</x:v>
      </x:c>
      <x:c r="D103" s="95" t="str">
        <x:v>Food Processors</x:v>
      </x:c>
      <x:c r="E103" s="95" t="str">
        <x:v>Category Hub</x:v>
      </x:c>
      <x:c r="F103" s="95" t="str">
        <x:v>Food Processor Reviews, Comparisons and Buying Guides</x:v>
      </x:c>
      <x:c r="G103" s="95" t="str">
        <x:v>Not Started</x:v>
      </x:c>
      <x:c r="H103" s="95" t="str"/>
      <x:c r="I103" s="95" t="str"/>
      <x:c r="J103" s="95" t="str"/>
      <x:c r="K103" s="95" t="str">
        <x:v>No</x:v>
      </x:c>
      <x:c r="L103" s="95" t="str">
        <x:v>No</x:v>
      </x:c>
      <x:c r="M103" s="114" t="str"/>
      <x:c r="N103" s="101" t="str"/>
    </x:row>
    <x:row r="104">
      <x:c r="A104" s="100" t="n">
        <x:v>103</x:v>
      </x:c>
      <x:c r="B104" s="95" t="str">
        <x:v>MC-HUB</x:v>
      </x:c>
      <x:c r="C104" s="95" t="str">
        <x:v>P3</x:v>
      </x:c>
      <x:c r="D104" s="95" t="str">
        <x:v>Mini Choppers</x:v>
      </x:c>
      <x:c r="E104" s="95" t="str">
        <x:v>Category Hub</x:v>
      </x:c>
      <x:c r="F104" s="95" t="str">
        <x:v>Mini Chopper Reviews, Comparisons and Buying Guides</x:v>
      </x:c>
      <x:c r="G104" s="95" t="str">
        <x:v>Not Started</x:v>
      </x:c>
      <x:c r="H104" s="95" t="str"/>
      <x:c r="I104" s="95" t="str"/>
      <x:c r="J104" s="95" t="str"/>
      <x:c r="K104" s="95" t="str">
        <x:v>No</x:v>
      </x:c>
      <x:c r="L104" s="95" t="str">
        <x:v>No</x:v>
      </x:c>
      <x:c r="M104" s="114" t="str"/>
      <x:c r="N104" s="101" t="str"/>
    </x:row>
    <x:row r="105">
      <x:c r="A105" s="100" t="n">
        <x:v>104</x:v>
      </x:c>
      <x:c r="B105" s="95" t="str">
        <x:v>RC-HUB</x:v>
      </x:c>
      <x:c r="C105" s="95" t="str">
        <x:v>P3</x:v>
      </x:c>
      <x:c r="D105" s="95" t="str">
        <x:v>Rice Cookers</x:v>
      </x:c>
      <x:c r="E105" s="95" t="str">
        <x:v>Category Hub</x:v>
      </x:c>
      <x:c r="F105" s="95" t="str">
        <x:v>Rice Cooker Reviews, Comparisons and Buying Guides</x:v>
      </x:c>
      <x:c r="G105" s="95" t="str">
        <x:v>Not Started</x:v>
      </x:c>
      <x:c r="H105" s="95" t="str"/>
      <x:c r="I105" s="95" t="str"/>
      <x:c r="J105" s="95" t="str"/>
      <x:c r="K105" s="95" t="str">
        <x:v>No</x:v>
      </x:c>
      <x:c r="L105" s="95" t="str">
        <x:v>No</x:v>
      </x:c>
      <x:c r="M105" s="114" t="str"/>
      <x:c r="N105" s="101" t="str"/>
    </x:row>
    <x:row r="106">
      <x:c r="A106" s="100" t="n">
        <x:v>105</x:v>
      </x:c>
      <x:c r="B106" s="95" t="str">
        <x:v>CG-PIL</x:v>
      </x:c>
      <x:c r="C106" s="95" t="str">
        <x:v>P3</x:v>
      </x:c>
      <x:c r="D106" s="95" t="str">
        <x:v>Coffee Grinders</x:v>
      </x:c>
      <x:c r="E106" s="95" t="str">
        <x:v>Commercial Pillar</x:v>
      </x:c>
      <x:c r="F106" s="95" t="str">
        <x:v>Best Coffee Grinders for Drip, Espresso and Pour-Over</x:v>
      </x:c>
      <x:c r="G106" s="95" t="str">
        <x:v>Not Started</x:v>
      </x:c>
      <x:c r="H106" s="95" t="str"/>
      <x:c r="I106" s="95" t="str"/>
      <x:c r="J106" s="95" t="str"/>
      <x:c r="K106" s="95" t="str">
        <x:v>No</x:v>
      </x:c>
      <x:c r="L106" s="95" t="str">
        <x:v>No</x:v>
      </x:c>
      <x:c r="M106" s="114" t="str"/>
      <x:c r="N106" s="101" t="str"/>
    </x:row>
    <x:row r="107">
      <x:c r="A107" s="100" t="n">
        <x:v>106</x:v>
      </x:c>
      <x:c r="B107" s="95" t="str">
        <x:v>FP-PIL</x:v>
      </x:c>
      <x:c r="C107" s="95" t="str">
        <x:v>P3</x:v>
      </x:c>
      <x:c r="D107" s="95" t="str">
        <x:v>Food Processors</x:v>
      </x:c>
      <x:c r="E107" s="95" t="str">
        <x:v>Commercial Pillar</x:v>
      </x:c>
      <x:c r="F107" s="95" t="str">
        <x:v>Best Food Processors for Chopping, Slicing and Dough</x:v>
      </x:c>
      <x:c r="G107" s="95" t="str">
        <x:v>Not Started</x:v>
      </x:c>
      <x:c r="H107" s="95" t="str"/>
      <x:c r="I107" s="95" t="str"/>
      <x:c r="J107" s="95" t="str"/>
      <x:c r="K107" s="95" t="str">
        <x:v>No</x:v>
      </x:c>
      <x:c r="L107" s="95" t="str">
        <x:v>No</x:v>
      </x:c>
      <x:c r="M107" s="114" t="str"/>
      <x:c r="N107" s="101" t="str"/>
    </x:row>
    <x:row r="108">
      <x:c r="A108" s="100" t="n">
        <x:v>107</x:v>
      </x:c>
      <x:c r="B108" s="95" t="str">
        <x:v>MC-PIL</x:v>
      </x:c>
      <x:c r="C108" s="95" t="str">
        <x:v>P3</x:v>
      </x:c>
      <x:c r="D108" s="95" t="str">
        <x:v>Mini Choppers</x:v>
      </x:c>
      <x:c r="E108" s="95" t="str">
        <x:v>Commercial Pillar</x:v>
      </x:c>
      <x:c r="F108" s="95" t="str">
        <x:v>Best Mini Food Choppers for Quick Prep</x:v>
      </x:c>
      <x:c r="G108" s="95" t="str">
        <x:v>Not Started</x:v>
      </x:c>
      <x:c r="H108" s="95" t="str"/>
      <x:c r="I108" s="95" t="str"/>
      <x:c r="J108" s="95" t="str"/>
      <x:c r="K108" s="95" t="str">
        <x:v>No</x:v>
      </x:c>
      <x:c r="L108" s="95" t="str">
        <x:v>No</x:v>
      </x:c>
      <x:c r="M108" s="114" t="str"/>
      <x:c r="N108" s="101" t="str"/>
    </x:row>
    <x:row r="109">
      <x:c r="A109" s="100" t="n">
        <x:v>108</x:v>
      </x:c>
      <x:c r="B109" s="95" t="str">
        <x:v>RC-PIL</x:v>
      </x:c>
      <x:c r="C109" s="95" t="str">
        <x:v>P3</x:v>
      </x:c>
      <x:c r="D109" s="95" t="str">
        <x:v>Rice Cookers</x:v>
      </x:c>
      <x:c r="E109" s="95" t="str">
        <x:v>Commercial Pillar</x:v>
      </x:c>
      <x:c r="F109" s="95" t="str">
        <x:v>Best Rice Cookers for Small and Large Households</x:v>
      </x:c>
      <x:c r="G109" s="95" t="str">
        <x:v>Not Started</x:v>
      </x:c>
      <x:c r="H109" s="95" t="str"/>
      <x:c r="I109" s="95" t="str"/>
      <x:c r="J109" s="95" t="str"/>
      <x:c r="K109" s="95" t="str">
        <x:v>No</x:v>
      </x:c>
      <x:c r="L109" s="95" t="str">
        <x:v>No</x:v>
      </x:c>
      <x:c r="M109" s="114" t="str"/>
      <x:c r="N109" s="101" t="str"/>
    </x:row>
    <x:row r="110">
      <x:c r="A110" s="100" t="n">
        <x:v>109</x:v>
      </x:c>
      <x:c r="B110" s="95" t="str">
        <x:v>AF-R18</x:v>
      </x:c>
      <x:c r="C110" s="95" t="str">
        <x:v>P3</x:v>
      </x:c>
      <x:c r="D110" s="95" t="str">
        <x:v>Air Fryers</x:v>
      </x:c>
      <x:c r="E110" s="95" t="str">
        <x:v>Roundup</x:v>
      </x:c>
      <x:c r="F110" s="95" t="str">
        <x:v>Best Air Fryers for Baking</x:v>
      </x:c>
      <x:c r="G110" s="95" t="str">
        <x:v>Not Started</x:v>
      </x:c>
      <x:c r="H110" s="95" t="str"/>
      <x:c r="I110" s="95" t="str"/>
      <x:c r="J110" s="95" t="str"/>
      <x:c r="K110" s="95" t="str">
        <x:v>No</x:v>
      </x:c>
      <x:c r="L110" s="95" t="str">
        <x:v>No</x:v>
      </x:c>
      <x:c r="M110" s="114" t="str"/>
      <x:c r="N110" s="101" t="str"/>
    </x:row>
    <x:row r="111">
      <x:c r="A111" s="100" t="n">
        <x:v>110</x:v>
      </x:c>
      <x:c r="B111" s="95" t="str">
        <x:v>AF-R19</x:v>
      </x:c>
      <x:c r="C111" s="95" t="str">
        <x:v>P3</x:v>
      </x:c>
      <x:c r="D111" s="95" t="str">
        <x:v>Air Fryers</x:v>
      </x:c>
      <x:c r="E111" s="95" t="str">
        <x:v>Roundup</x:v>
      </x:c>
      <x:c r="F111" s="95" t="str">
        <x:v>Best Air Fryers with Rotisserie</x:v>
      </x:c>
      <x:c r="G111" s="95" t="str">
        <x:v>Not Started</x:v>
      </x:c>
      <x:c r="H111" s="95" t="str"/>
      <x:c r="I111" s="95" t="str"/>
      <x:c r="J111" s="95" t="str"/>
      <x:c r="K111" s="95" t="str">
        <x:v>No</x:v>
      </x:c>
      <x:c r="L111" s="95" t="str">
        <x:v>No</x:v>
      </x:c>
      <x:c r="M111" s="114" t="str"/>
      <x:c r="N111" s="101" t="str"/>
    </x:row>
    <x:row r="112">
      <x:c r="A112" s="100" t="n">
        <x:v>111</x:v>
      </x:c>
      <x:c r="B112" s="95" t="str">
        <x:v>BL-R13</x:v>
      </x:c>
      <x:c r="C112" s="95" t="str">
        <x:v>P3</x:v>
      </x:c>
      <x:c r="D112" s="95" t="str">
        <x:v>Blenders</x:v>
      </x:c>
      <x:c r="E112" s="95" t="str">
        <x:v>Roundup</x:v>
      </x:c>
      <x:c r="F112" s="95" t="str">
        <x:v>Best Easy-to-Clean Blenders</x:v>
      </x:c>
      <x:c r="G112" s="95" t="str">
        <x:v>Not Started</x:v>
      </x:c>
      <x:c r="H112" s="95" t="str"/>
      <x:c r="I112" s="95" t="str"/>
      <x:c r="J112" s="95" t="str"/>
      <x:c r="K112" s="95" t="str">
        <x:v>No</x:v>
      </x:c>
      <x:c r="L112" s="95" t="str">
        <x:v>No</x:v>
      </x:c>
      <x:c r="M112" s="114" t="str"/>
      <x:c r="N112" s="101" t="str"/>
    </x:row>
    <x:row r="113">
      <x:c r="A113" s="100" t="n">
        <x:v>112</x:v>
      </x:c>
      <x:c r="B113" s="95" t="str">
        <x:v>BL-R14</x:v>
      </x:c>
      <x:c r="C113" s="95" t="str">
        <x:v>P3</x:v>
      </x:c>
      <x:c r="D113" s="95" t="str">
        <x:v>Blenders</x:v>
      </x:c>
      <x:c r="E113" s="95" t="str">
        <x:v>Roundup</x:v>
      </x:c>
      <x:c r="F113" s="95" t="str">
        <x:v>Best Blenders for Large Families</x:v>
      </x:c>
      <x:c r="G113" s="95" t="str">
        <x:v>Not Started</x:v>
      </x:c>
      <x:c r="H113" s="95" t="str"/>
      <x:c r="I113" s="95" t="str"/>
      <x:c r="J113" s="95" t="str"/>
      <x:c r="K113" s="95" t="str">
        <x:v>No</x:v>
      </x:c>
      <x:c r="L113" s="95" t="str">
        <x:v>No</x:v>
      </x:c>
      <x:c r="M113" s="114" t="str"/>
      <x:c r="N113" s="101" t="str"/>
    </x:row>
    <x:row r="114">
      <x:c r="A114" s="100" t="n">
        <x:v>113</x:v>
      </x:c>
      <x:c r="B114" s="95" t="str">
        <x:v>BL-R15</x:v>
      </x:c>
      <x:c r="C114" s="95" t="str">
        <x:v>P3</x:v>
      </x:c>
      <x:c r="D114" s="95" t="str">
        <x:v>Blenders</x:v>
      </x:c>
      <x:c r="E114" s="95" t="str">
        <x:v>Roundup</x:v>
      </x:c>
      <x:c r="F114" s="95" t="str">
        <x:v>Best Portable Blenders</x:v>
      </x:c>
      <x:c r="G114" s="95" t="str">
        <x:v>Not Started</x:v>
      </x:c>
      <x:c r="H114" s="95" t="str"/>
      <x:c r="I114" s="95" t="str"/>
      <x:c r="J114" s="95" t="str"/>
      <x:c r="K114" s="95" t="str">
        <x:v>No</x:v>
      </x:c>
      <x:c r="L114" s="95" t="str">
        <x:v>No</x:v>
      </x:c>
      <x:c r="M114" s="114" t="str"/>
      <x:c r="N114" s="101" t="str"/>
    </x:row>
    <x:row r="115">
      <x:c r="A115" s="100" t="n">
        <x:v>114</x:v>
      </x:c>
      <x:c r="B115" s="95" t="str">
        <x:v>CG-R01</x:v>
      </x:c>
      <x:c r="C115" s="95" t="str">
        <x:v>P3</x:v>
      </x:c>
      <x:c r="D115" s="95" t="str">
        <x:v>Coffee Grinders</x:v>
      </x:c>
      <x:c r="E115" s="95" t="str">
        <x:v>Roundup</x:v>
      </x:c>
      <x:c r="F115" s="95" t="str">
        <x:v>Best Coffee Grinders Under $100</x:v>
      </x:c>
      <x:c r="G115" s="95" t="str">
        <x:v>Not Started</x:v>
      </x:c>
      <x:c r="H115" s="95" t="str"/>
      <x:c r="I115" s="95" t="str"/>
      <x:c r="J115" s="95" t="str"/>
      <x:c r="K115" s="95" t="str">
        <x:v>No</x:v>
      </x:c>
      <x:c r="L115" s="95" t="str">
        <x:v>No</x:v>
      </x:c>
      <x:c r="M115" s="114" t="str"/>
      <x:c r="N115" s="101" t="str"/>
    </x:row>
    <x:row r="116">
      <x:c r="A116" s="100" t="n">
        <x:v>115</x:v>
      </x:c>
      <x:c r="B116" s="95" t="str">
        <x:v>CG-R02</x:v>
      </x:c>
      <x:c r="C116" s="95" t="str">
        <x:v>P3</x:v>
      </x:c>
      <x:c r="D116" s="95" t="str">
        <x:v>Coffee Grinders</x:v>
      </x:c>
      <x:c r="E116" s="95" t="str">
        <x:v>Roundup</x:v>
      </x:c>
      <x:c r="F116" s="95" t="str">
        <x:v>Best Burr Coffee Grinders</x:v>
      </x:c>
      <x:c r="G116" s="95" t="str">
        <x:v>Not Started</x:v>
      </x:c>
      <x:c r="H116" s="95" t="str"/>
      <x:c r="I116" s="95" t="str"/>
      <x:c r="J116" s="95" t="str"/>
      <x:c r="K116" s="95" t="str">
        <x:v>No</x:v>
      </x:c>
      <x:c r="L116" s="95" t="str">
        <x:v>No</x:v>
      </x:c>
      <x:c r="M116" s="114" t="str"/>
      <x:c r="N116" s="101" t="str"/>
    </x:row>
    <x:row r="117">
      <x:c r="A117" s="100" t="n">
        <x:v>116</x:v>
      </x:c>
      <x:c r="B117" s="95" t="str">
        <x:v>CG-R03</x:v>
      </x:c>
      <x:c r="C117" s="95" t="str">
        <x:v>P3</x:v>
      </x:c>
      <x:c r="D117" s="95" t="str">
        <x:v>Coffee Grinders</x:v>
      </x:c>
      <x:c r="E117" s="95" t="str">
        <x:v>Roundup</x:v>
      </x:c>
      <x:c r="F117" s="95" t="str">
        <x:v>Best Coffee Grinders for Espresso</x:v>
      </x:c>
      <x:c r="G117" s="95" t="str">
        <x:v>Not Started</x:v>
      </x:c>
      <x:c r="H117" s="95" t="str"/>
      <x:c r="I117" s="95" t="str"/>
      <x:c r="J117" s="95" t="str"/>
      <x:c r="K117" s="95" t="str">
        <x:v>No</x:v>
      </x:c>
      <x:c r="L117" s="95" t="str">
        <x:v>No</x:v>
      </x:c>
      <x:c r="M117" s="114" t="str"/>
      <x:c r="N117" s="101" t="str"/>
    </x:row>
    <x:row r="118">
      <x:c r="A118" s="100" t="n">
        <x:v>117</x:v>
      </x:c>
      <x:c r="B118" s="95" t="str">
        <x:v>EK-R06</x:v>
      </x:c>
      <x:c r="C118" s="95" t="str">
        <x:v>P3</x:v>
      </x:c>
      <x:c r="D118" s="95" t="str">
        <x:v>Electric Kettles</x:v>
      </x:c>
      <x:c r="E118" s="95" t="str">
        <x:v>Roundup</x:v>
      </x:c>
      <x:c r="F118" s="95" t="str">
        <x:v>Best Stainless Steel Electric Kettles</x:v>
      </x:c>
      <x:c r="G118" s="95" t="str">
        <x:v>Not Started</x:v>
      </x:c>
      <x:c r="H118" s="95" t="str"/>
      <x:c r="I118" s="95" t="str"/>
      <x:c r="J118" s="95" t="str"/>
      <x:c r="K118" s="95" t="str">
        <x:v>No</x:v>
      </x:c>
      <x:c r="L118" s="95" t="str">
        <x:v>No</x:v>
      </x:c>
      <x:c r="M118" s="114" t="str"/>
      <x:c r="N118" s="101" t="str"/>
    </x:row>
    <x:row r="119">
      <x:c r="A119" s="100" t="n">
        <x:v>118</x:v>
      </x:c>
      <x:c r="B119" s="95" t="str">
        <x:v>EK-R07</x:v>
      </x:c>
      <x:c r="C119" s="95" t="str">
        <x:v>P3</x:v>
      </x:c>
      <x:c r="D119" s="95" t="str">
        <x:v>Electric Kettles</x:v>
      </x:c>
      <x:c r="E119" s="95" t="str">
        <x:v>Roundup</x:v>
      </x:c>
      <x:c r="F119" s="95" t="str">
        <x:v>Best Glass Electric Kettles</x:v>
      </x:c>
      <x:c r="G119" s="95" t="str">
        <x:v>Not Started</x:v>
      </x:c>
      <x:c r="H119" s="95" t="str"/>
      <x:c r="I119" s="95" t="str"/>
      <x:c r="J119" s="95" t="str"/>
      <x:c r="K119" s="95" t="str">
        <x:v>No</x:v>
      </x:c>
      <x:c r="L119" s="95" t="str">
        <x:v>No</x:v>
      </x:c>
      <x:c r="M119" s="114" t="str"/>
      <x:c r="N119" s="101" t="str"/>
    </x:row>
    <x:row r="120">
      <x:c r="A120" s="100" t="n">
        <x:v>119</x:v>
      </x:c>
      <x:c r="B120" s="95" t="str">
        <x:v>EK-R08</x:v>
      </x:c>
      <x:c r="C120" s="95" t="str">
        <x:v>P3</x:v>
      </x:c>
      <x:c r="D120" s="95" t="str">
        <x:v>Electric Kettles</x:v>
      </x:c>
      <x:c r="E120" s="95" t="str">
        <x:v>Roundup</x:v>
      </x:c>
      <x:c r="F120" s="95" t="str">
        <x:v>Best Small Electric Kettles</x:v>
      </x:c>
      <x:c r="G120" s="95" t="str">
        <x:v>Not Started</x:v>
      </x:c>
      <x:c r="H120" s="95" t="str"/>
      <x:c r="I120" s="95" t="str"/>
      <x:c r="J120" s="95" t="str"/>
      <x:c r="K120" s="95" t="str">
        <x:v>No</x:v>
      </x:c>
      <x:c r="L120" s="95" t="str">
        <x:v>No</x:v>
      </x:c>
      <x:c r="M120" s="114" t="str"/>
      <x:c r="N120" s="101" t="str"/>
    </x:row>
    <x:row r="121">
      <x:c r="A121" s="100" t="n">
        <x:v>120</x:v>
      </x:c>
      <x:c r="B121" s="95" t="str">
        <x:v>EK-R09</x:v>
      </x:c>
      <x:c r="C121" s="95" t="str">
        <x:v>P3</x:v>
      </x:c>
      <x:c r="D121" s="95" t="str">
        <x:v>Electric Kettles</x:v>
      </x:c>
      <x:c r="E121" s="95" t="str">
        <x:v>Roundup</x:v>
      </x:c>
      <x:c r="F121" s="95" t="str">
        <x:v>Best Travel Electric Kettles</x:v>
      </x:c>
      <x:c r="G121" s="95" t="str">
        <x:v>Not Started</x:v>
      </x:c>
      <x:c r="H121" s="95" t="str"/>
      <x:c r="I121" s="95" t="str"/>
      <x:c r="J121" s="95" t="str"/>
      <x:c r="K121" s="95" t="str">
        <x:v>No</x:v>
      </x:c>
      <x:c r="L121" s="95" t="str">
        <x:v>No</x:v>
      </x:c>
      <x:c r="M121" s="114" t="str"/>
      <x:c r="N121" s="101" t="str"/>
    </x:row>
    <x:row r="122">
      <x:c r="A122" s="100" t="n">
        <x:v>121</x:v>
      </x:c>
      <x:c r="B122" s="95" t="str">
        <x:v>EK-R10</x:v>
      </x:c>
      <x:c r="C122" s="95" t="str">
        <x:v>P3</x:v>
      </x:c>
      <x:c r="D122" s="95" t="str">
        <x:v>Electric Kettles</x:v>
      </x:c>
      <x:c r="E122" s="95" t="str">
        <x:v>Roundup</x:v>
      </x:c>
      <x:c r="F122" s="95" t="str">
        <x:v>Fastest Boiling Electric Kettles</x:v>
      </x:c>
      <x:c r="G122" s="95" t="str">
        <x:v>Not Started</x:v>
      </x:c>
      <x:c r="H122" s="95" t="str"/>
      <x:c r="I122" s="95" t="str"/>
      <x:c r="J122" s="95" t="str"/>
      <x:c r="K122" s="95" t="str">
        <x:v>No</x:v>
      </x:c>
      <x:c r="L122" s="95" t="str">
        <x:v>No</x:v>
      </x:c>
      <x:c r="M122" s="114" t="str"/>
      <x:c r="N122" s="101" t="str"/>
    </x:row>
    <x:row r="123">
      <x:c r="A123" s="100" t="n">
        <x:v>122</x:v>
      </x:c>
      <x:c r="B123" s="95" t="str">
        <x:v>FP-R01</x:v>
      </x:c>
      <x:c r="C123" s="95" t="str">
        <x:v>P3</x:v>
      </x:c>
      <x:c r="D123" s="95" t="str">
        <x:v>Food Processors</x:v>
      </x:c>
      <x:c r="E123" s="95" t="str">
        <x:v>Roundup</x:v>
      </x:c>
      <x:c r="F123" s="95" t="str">
        <x:v>Best Food Processors Under $100</x:v>
      </x:c>
      <x:c r="G123" s="95" t="str">
        <x:v>Not Started</x:v>
      </x:c>
      <x:c r="H123" s="95" t="str"/>
      <x:c r="I123" s="95" t="str"/>
      <x:c r="J123" s="95" t="str"/>
      <x:c r="K123" s="95" t="str">
        <x:v>No</x:v>
      </x:c>
      <x:c r="L123" s="95" t="str">
        <x:v>No</x:v>
      </x:c>
      <x:c r="M123" s="114" t="str"/>
      <x:c r="N123" s="101" t="str"/>
    </x:row>
    <x:row r="124">
      <x:c r="A124" s="100" t="n">
        <x:v>123</x:v>
      </x:c>
      <x:c r="B124" s="95" t="str">
        <x:v>FP-R02</x:v>
      </x:c>
      <x:c r="C124" s="95" t="str">
        <x:v>P3</x:v>
      </x:c>
      <x:c r="D124" s="95" t="str">
        <x:v>Food Processors</x:v>
      </x:c>
      <x:c r="E124" s="95" t="str">
        <x:v>Roundup</x:v>
      </x:c>
      <x:c r="F124" s="95" t="str">
        <x:v>Best Small Food Processors</x:v>
      </x:c>
      <x:c r="G124" s="95" t="str">
        <x:v>Not Started</x:v>
      </x:c>
      <x:c r="H124" s="95" t="str"/>
      <x:c r="I124" s="95" t="str"/>
      <x:c r="J124" s="95" t="str"/>
      <x:c r="K124" s="95" t="str">
        <x:v>No</x:v>
      </x:c>
      <x:c r="L124" s="95" t="str">
        <x:v>No</x:v>
      </x:c>
      <x:c r="M124" s="114" t="str"/>
      <x:c r="N124" s="101" t="str"/>
    </x:row>
    <x:row r="125">
      <x:c r="A125" s="100" t="n">
        <x:v>124</x:v>
      </x:c>
      <x:c r="B125" s="95" t="str">
        <x:v>FP-R03</x:v>
      </x:c>
      <x:c r="C125" s="95" t="str">
        <x:v>P3</x:v>
      </x:c>
      <x:c r="D125" s="95" t="str">
        <x:v>Food Processors</x:v>
      </x:c>
      <x:c r="E125" s="95" t="str">
        <x:v>Roundup</x:v>
      </x:c>
      <x:c r="F125" s="95" t="str">
        <x:v>Best Food Processors for Dough</x:v>
      </x:c>
      <x:c r="G125" s="95" t="str">
        <x:v>Not Started</x:v>
      </x:c>
      <x:c r="H125" s="95" t="str"/>
      <x:c r="I125" s="95" t="str"/>
      <x:c r="J125" s="95" t="str"/>
      <x:c r="K125" s="95" t="str">
        <x:v>No</x:v>
      </x:c>
      <x:c r="L125" s="95" t="str">
        <x:v>No</x:v>
      </x:c>
      <x:c r="M125" s="114" t="str"/>
      <x:c r="N125" s="101" t="str"/>
    </x:row>
    <x:row r="126">
      <x:c r="A126" s="100" t="n">
        <x:v>125</x:v>
      </x:c>
      <x:c r="B126" s="95" t="str">
        <x:v>FP-R04</x:v>
      </x:c>
      <x:c r="C126" s="95" t="str">
        <x:v>P3</x:v>
      </x:c>
      <x:c r="D126" s="95" t="str">
        <x:v>Food Processors</x:v>
      </x:c>
      <x:c r="E126" s="95" t="str">
        <x:v>Roundup</x:v>
      </x:c>
      <x:c r="F126" s="95" t="str">
        <x:v>Best Food Processors for Slicing Vegetables</x:v>
      </x:c>
      <x:c r="G126" s="95" t="str">
        <x:v>Not Started</x:v>
      </x:c>
      <x:c r="H126" s="95" t="str"/>
      <x:c r="I126" s="95" t="str"/>
      <x:c r="J126" s="95" t="str"/>
      <x:c r="K126" s="95" t="str">
        <x:v>No</x:v>
      </x:c>
      <x:c r="L126" s="95" t="str">
        <x:v>No</x:v>
      </x:c>
      <x:c r="M126" s="114" t="str"/>
      <x:c r="N126" s="101" t="str"/>
    </x:row>
    <x:row r="127">
      <x:c r="A127" s="100" t="n">
        <x:v>126</x:v>
      </x:c>
      <x:c r="B127" s="95" t="str">
        <x:v>FP-R05</x:v>
      </x:c>
      <x:c r="C127" s="95" t="str">
        <x:v>P3</x:v>
      </x:c>
      <x:c r="D127" s="95" t="str">
        <x:v>Food Processors</x:v>
      </x:c>
      <x:c r="E127" s="95" t="str">
        <x:v>Roundup</x:v>
      </x:c>
      <x:c r="F127" s="95" t="str">
        <x:v>Best Food Processors for Shredding Cheese</x:v>
      </x:c>
      <x:c r="G127" s="95" t="str">
        <x:v>Not Started</x:v>
      </x:c>
      <x:c r="H127" s="95" t="str"/>
      <x:c r="I127" s="95" t="str"/>
      <x:c r="J127" s="95" t="str"/>
      <x:c r="K127" s="95" t="str">
        <x:v>No</x:v>
      </x:c>
      <x:c r="L127" s="95" t="str">
        <x:v>No</x:v>
      </x:c>
      <x:c r="M127" s="114" t="str"/>
      <x:c r="N127" s="101" t="str"/>
    </x:row>
    <x:row r="128">
      <x:c r="A128" s="100" t="n">
        <x:v>127</x:v>
      </x:c>
      <x:c r="B128" s="95" t="str">
        <x:v>FP-R06</x:v>
      </x:c>
      <x:c r="C128" s="95" t="str">
        <x:v>P3</x:v>
      </x:c>
      <x:c r="D128" s="95" t="str">
        <x:v>Food Processors</x:v>
      </x:c>
      <x:c r="E128" s="95" t="str">
        <x:v>Roundup</x:v>
      </x:c>
      <x:c r="F128" s="95" t="str">
        <x:v>Best Food Processors for Nut Butter</x:v>
      </x:c>
      <x:c r="G128" s="95" t="str">
        <x:v>Not Started</x:v>
      </x:c>
      <x:c r="H128" s="95" t="str"/>
      <x:c r="I128" s="95" t="str"/>
      <x:c r="J128" s="95" t="str"/>
      <x:c r="K128" s="95" t="str">
        <x:v>No</x:v>
      </x:c>
      <x:c r="L128" s="95" t="str">
        <x:v>No</x:v>
      </x:c>
      <x:c r="M128" s="114" t="str"/>
      <x:c r="N128" s="101" t="str"/>
    </x:row>
    <x:row r="129">
      <x:c r="A129" s="100" t="n">
        <x:v>128</x:v>
      </x:c>
      <x:c r="B129" s="95" t="str">
        <x:v>MC-R01</x:v>
      </x:c>
      <x:c r="C129" s="95" t="str">
        <x:v>P3</x:v>
      </x:c>
      <x:c r="D129" s="95" t="str">
        <x:v>Mini Choppers</x:v>
      </x:c>
      <x:c r="E129" s="95" t="str">
        <x:v>Roundup</x:v>
      </x:c>
      <x:c r="F129" s="95" t="str">
        <x:v>Best Mini Food Choppers Under $50</x:v>
      </x:c>
      <x:c r="G129" s="95" t="str">
        <x:v>Not Started</x:v>
      </x:c>
      <x:c r="H129" s="95" t="str"/>
      <x:c r="I129" s="95" t="str"/>
      <x:c r="J129" s="95" t="str"/>
      <x:c r="K129" s="95" t="str">
        <x:v>No</x:v>
      </x:c>
      <x:c r="L129" s="95" t="str">
        <x:v>No</x:v>
      </x:c>
      <x:c r="M129" s="114" t="str"/>
      <x:c r="N129" s="101" t="str"/>
    </x:row>
    <x:row r="130">
      <x:c r="A130" s="100" t="n">
        <x:v>129</x:v>
      </x:c>
      <x:c r="B130" s="95" t="str">
        <x:v>MC-R02</x:v>
      </x:c>
      <x:c r="C130" s="95" t="str">
        <x:v>P3</x:v>
      </x:c>
      <x:c r="D130" s="95" t="str">
        <x:v>Mini Choppers</x:v>
      </x:c>
      <x:c r="E130" s="95" t="str">
        <x:v>Roundup</x:v>
      </x:c>
      <x:c r="F130" s="95" t="str">
        <x:v>Best Electric Mini Choppers</x:v>
      </x:c>
      <x:c r="G130" s="95" t="str">
        <x:v>Not Started</x:v>
      </x:c>
      <x:c r="H130" s="95" t="str"/>
      <x:c r="I130" s="95" t="str"/>
      <x:c r="J130" s="95" t="str"/>
      <x:c r="K130" s="95" t="str">
        <x:v>No</x:v>
      </x:c>
      <x:c r="L130" s="95" t="str">
        <x:v>No</x:v>
      </x:c>
      <x:c r="M130" s="114" t="str"/>
      <x:c r="N130" s="101" t="str"/>
    </x:row>
    <x:row r="131">
      <x:c r="A131" s="100" t="n">
        <x:v>130</x:v>
      </x:c>
      <x:c r="B131" s="95" t="str">
        <x:v>MC-R03</x:v>
      </x:c>
      <x:c r="C131" s="95" t="str">
        <x:v>P3</x:v>
      </x:c>
      <x:c r="D131" s="95" t="str">
        <x:v>Mini Choppers</x:v>
      </x:c>
      <x:c r="E131" s="95" t="str">
        <x:v>Roundup</x:v>
      </x:c>
      <x:c r="F131" s="95" t="str">
        <x:v>Best Mini Choppers for Onions</x:v>
      </x:c>
      <x:c r="G131" s="95" t="str">
        <x:v>Not Started</x:v>
      </x:c>
      <x:c r="H131" s="95" t="str"/>
      <x:c r="I131" s="95" t="str"/>
      <x:c r="J131" s="95" t="str"/>
      <x:c r="K131" s="95" t="str">
        <x:v>No</x:v>
      </x:c>
      <x:c r="L131" s="95" t="str">
        <x:v>No</x:v>
      </x:c>
      <x:c r="M131" s="114" t="str"/>
      <x:c r="N131" s="101" t="str"/>
    </x:row>
    <x:row r="132">
      <x:c r="A132" s="100" t="n">
        <x:v>131</x:v>
      </x:c>
      <x:c r="B132" s="95" t="str">
        <x:v>RC-R01</x:v>
      </x:c>
      <x:c r="C132" s="95" t="str">
        <x:v>P3</x:v>
      </x:c>
      <x:c r="D132" s="95" t="str">
        <x:v>Rice Cookers</x:v>
      </x:c>
      <x:c r="E132" s="95" t="str">
        <x:v>Roundup</x:v>
      </x:c>
      <x:c r="F132" s="95" t="str">
        <x:v>Best Rice Cookers Under $50</x:v>
      </x:c>
      <x:c r="G132" s="95" t="str">
        <x:v>Not Started</x:v>
      </x:c>
      <x:c r="H132" s="95" t="str"/>
      <x:c r="I132" s="95" t="str"/>
      <x:c r="J132" s="95" t="str"/>
      <x:c r="K132" s="95" t="str">
        <x:v>No</x:v>
      </x:c>
      <x:c r="L132" s="95" t="str">
        <x:v>No</x:v>
      </x:c>
      <x:c r="M132" s="114" t="str"/>
      <x:c r="N132" s="101" t="str"/>
    </x:row>
    <x:row r="133">
      <x:c r="A133" s="100" t="n">
        <x:v>132</x:v>
      </x:c>
      <x:c r="B133" s="95" t="str">
        <x:v>RC-R02</x:v>
      </x:c>
      <x:c r="C133" s="95" t="str">
        <x:v>P3</x:v>
      </x:c>
      <x:c r="D133" s="95" t="str">
        <x:v>Rice Cookers</x:v>
      </x:c>
      <x:c r="E133" s="95" t="str">
        <x:v>Roundup</x:v>
      </x:c>
      <x:c r="F133" s="95" t="str">
        <x:v>Best Small Rice Cookers</x:v>
      </x:c>
      <x:c r="G133" s="95" t="str">
        <x:v>Not Started</x:v>
      </x:c>
      <x:c r="H133" s="95" t="str"/>
      <x:c r="I133" s="95" t="str"/>
      <x:c r="J133" s="95" t="str"/>
      <x:c r="K133" s="95" t="str">
        <x:v>No</x:v>
      </x:c>
      <x:c r="L133" s="95" t="str">
        <x:v>No</x:v>
      </x:c>
      <x:c r="M133" s="114" t="str"/>
      <x:c r="N133" s="101" t="str"/>
    </x:row>
    <x:row r="134">
      <x:c r="A134" s="100" t="n">
        <x:v>133</x:v>
      </x:c>
      <x:c r="B134" s="95" t="str">
        <x:v>RC-R03</x:v>
      </x:c>
      <x:c r="C134" s="95" t="str">
        <x:v>P3</x:v>
      </x:c>
      <x:c r="D134" s="95" t="str">
        <x:v>Rice Cookers</x:v>
      </x:c>
      <x:c r="E134" s="95" t="str">
        <x:v>Roundup</x:v>
      </x:c>
      <x:c r="F134" s="95" t="str">
        <x:v>Best Rice Cookers for Brown Rice</x:v>
      </x:c>
      <x:c r="G134" s="95" t="str">
        <x:v>Not Started</x:v>
      </x:c>
      <x:c r="H134" s="95" t="str"/>
      <x:c r="I134" s="95" t="str"/>
      <x:c r="J134" s="95" t="str"/>
      <x:c r="K134" s="95" t="str">
        <x:v>No</x:v>
      </x:c>
      <x:c r="L134" s="95" t="str">
        <x:v>No</x:v>
      </x:c>
      <x:c r="M134" s="114" t="str"/>
      <x:c r="N134" s="101" t="str"/>
    </x:row>
    <x:row r="135">
      <x:c r="A135" s="100" t="n">
        <x:v>134</x:v>
      </x:c>
      <x:c r="B135" s="95" t="str">
        <x:v>TO-R05</x:v>
      </x:c>
      <x:c r="C135" s="95" t="str">
        <x:v>P3</x:v>
      </x:c>
      <x:c r="D135" s="95" t="str">
        <x:v>Toaster Ovens</x:v>
      </x:c>
      <x:c r="E135" s="95" t="str">
        <x:v>Roundup</x:v>
      </x:c>
      <x:c r="F135" s="95" t="str">
        <x:v>Best Toaster Ovens for Pizza</x:v>
      </x:c>
      <x:c r="G135" s="95" t="str">
        <x:v>Not Started</x:v>
      </x:c>
      <x:c r="H135" s="95" t="str"/>
      <x:c r="I135" s="95" t="str"/>
      <x:c r="J135" s="95" t="str"/>
      <x:c r="K135" s="95" t="str">
        <x:v>No</x:v>
      </x:c>
      <x:c r="L135" s="95" t="str">
        <x:v>No</x:v>
      </x:c>
      <x:c r="M135" s="114" t="str"/>
      <x:c r="N135" s="101" t="str"/>
    </x:row>
    <x:row r="136">
      <x:c r="A136" s="100" t="n">
        <x:v>135</x:v>
      </x:c>
      <x:c r="B136" s="95" t="str">
        <x:v>TO-R07</x:v>
      </x:c>
      <x:c r="C136" s="95" t="str">
        <x:v>P3</x:v>
      </x:c>
      <x:c r="D136" s="95" t="str">
        <x:v>Toaster Ovens</x:v>
      </x:c>
      <x:c r="E136" s="95" t="str">
        <x:v>Roundup</x:v>
      </x:c>
      <x:c r="F136" s="95" t="str">
        <x:v>Best Convection Toaster Ovens</x:v>
      </x:c>
      <x:c r="G136" s="95" t="str">
        <x:v>Not Started</x:v>
      </x:c>
      <x:c r="H136" s="95" t="str"/>
      <x:c r="I136" s="95" t="str"/>
      <x:c r="J136" s="95" t="str"/>
      <x:c r="K136" s="95" t="str">
        <x:v>No</x:v>
      </x:c>
      <x:c r="L136" s="95" t="str">
        <x:v>No</x:v>
      </x:c>
      <x:c r="M136" s="114" t="str"/>
      <x:c r="N136" s="101" t="str"/>
    </x:row>
    <x:row r="137">
      <x:c r="A137" s="100" t="n">
        <x:v>136</x:v>
      </x:c>
      <x:c r="B137" s="95" t="str">
        <x:v>TO-R08</x:v>
      </x:c>
      <x:c r="C137" s="95" t="str">
        <x:v>P3</x:v>
      </x:c>
      <x:c r="D137" s="95" t="str">
        <x:v>Toaster Ovens</x:v>
      </x:c>
      <x:c r="E137" s="95" t="str">
        <x:v>Roundup</x:v>
      </x:c>
      <x:c r="F137" s="95" t="str">
        <x:v>Best Easy-to-Clean Toaster Ovens</x:v>
      </x:c>
      <x:c r="G137" s="95" t="str">
        <x:v>Not Started</x:v>
      </x:c>
      <x:c r="H137" s="95" t="str"/>
      <x:c r="I137" s="95" t="str"/>
      <x:c r="J137" s="95" t="str"/>
      <x:c r="K137" s="95" t="str">
        <x:v>No</x:v>
      </x:c>
      <x:c r="L137" s="95" t="str">
        <x:v>No</x:v>
      </x:c>
      <x:c r="M137" s="114" t="str"/>
      <x:c r="N137" s="101" t="str"/>
    </x:row>
    <x:row r="138">
      <x:c r="A138" s="100" t="n">
        <x:v>137</x:v>
      </x:c>
      <x:c r="B138" s="95" t="str">
        <x:v>CG-C01</x:v>
      </x:c>
      <x:c r="C138" s="95" t="str">
        <x:v>P3</x:v>
      </x:c>
      <x:c r="D138" s="95" t="str">
        <x:v>Coffee Grinders</x:v>
      </x:c>
      <x:c r="E138" s="95" t="str">
        <x:v>Comparison</x:v>
      </x:c>
      <x:c r="F138" s="95" t="str">
        <x:v>Burr Grinder vs Blade Grinder</x:v>
      </x:c>
      <x:c r="G138" s="95" t="str">
        <x:v>Not Started</x:v>
      </x:c>
      <x:c r="H138" s="95" t="str"/>
      <x:c r="I138" s="95" t="str"/>
      <x:c r="J138" s="95" t="str"/>
      <x:c r="K138" s="95" t="str">
        <x:v>No</x:v>
      </x:c>
      <x:c r="L138" s="95" t="str">
        <x:v>No</x:v>
      </x:c>
      <x:c r="M138" s="114" t="str"/>
      <x:c r="N138" s="101" t="str"/>
    </x:row>
    <x:row r="139">
      <x:c r="A139" s="100" t="n">
        <x:v>138</x:v>
      </x:c>
      <x:c r="B139" s="95" t="str">
        <x:v>EK-C02</x:v>
      </x:c>
      <x:c r="C139" s="95" t="str">
        <x:v>P3</x:v>
      </x:c>
      <x:c r="D139" s="95" t="str">
        <x:v>Electric Kettles</x:v>
      </x:c>
      <x:c r="E139" s="95" t="str">
        <x:v>Comparison</x:v>
      </x:c>
      <x:c r="F139" s="95" t="str">
        <x:v>Glass vs Stainless Steel Electric Kettle</x:v>
      </x:c>
      <x:c r="G139" s="95" t="str">
        <x:v>Not Started</x:v>
      </x:c>
      <x:c r="H139" s="95" t="str"/>
      <x:c r="I139" s="95" t="str"/>
      <x:c r="J139" s="95" t="str"/>
      <x:c r="K139" s="95" t="str">
        <x:v>No</x:v>
      </x:c>
      <x:c r="L139" s="95" t="str">
        <x:v>No</x:v>
      </x:c>
      <x:c r="M139" s="114" t="str"/>
      <x:c r="N139" s="101" t="str"/>
    </x:row>
    <x:row r="140">
      <x:c r="A140" s="100" t="n">
        <x:v>139</x:v>
      </x:c>
      <x:c r="B140" s="95" t="str">
        <x:v>EK-C03</x:v>
      </x:c>
      <x:c r="C140" s="95" t="str">
        <x:v>P3</x:v>
      </x:c>
      <x:c r="D140" s="95" t="str">
        <x:v>Electric Kettles</x:v>
      </x:c>
      <x:c r="E140" s="95" t="str">
        <x:v>Comparison</x:v>
      </x:c>
      <x:c r="F140" s="95" t="str">
        <x:v>Variable Temperature vs Basic Electric Kettle</x:v>
      </x:c>
      <x:c r="G140" s="95" t="str">
        <x:v>Not Started</x:v>
      </x:c>
      <x:c r="H140" s="95" t="str"/>
      <x:c r="I140" s="95" t="str"/>
      <x:c r="J140" s="95" t="str"/>
      <x:c r="K140" s="95" t="str">
        <x:v>No</x:v>
      </x:c>
      <x:c r="L140" s="95" t="str">
        <x:v>No</x:v>
      </x:c>
      <x:c r="M140" s="114" t="str"/>
      <x:c r="N140" s="101" t="str"/>
    </x:row>
    <x:row r="141">
      <x:c r="A141" s="100" t="n">
        <x:v>140</x:v>
      </x:c>
      <x:c r="B141" s="95" t="str">
        <x:v>FP-C01</x:v>
      </x:c>
      <x:c r="C141" s="95" t="str">
        <x:v>P3</x:v>
      </x:c>
      <x:c r="D141" s="95" t="str">
        <x:v>Food Processors</x:v>
      </x:c>
      <x:c r="E141" s="95" t="str">
        <x:v>Comparison</x:v>
      </x:c>
      <x:c r="F141" s="95" t="str">
        <x:v>Cuisinart vs KitchenAid Food Processor</x:v>
      </x:c>
      <x:c r="G141" s="95" t="str">
        <x:v>Not Started</x:v>
      </x:c>
      <x:c r="H141" s="95" t="str"/>
      <x:c r="I141" s="95" t="str"/>
      <x:c r="J141" s="95" t="str"/>
      <x:c r="K141" s="95" t="str">
        <x:v>No</x:v>
      </x:c>
      <x:c r="L141" s="95" t="str">
        <x:v>No</x:v>
      </x:c>
      <x:c r="M141" s="114" t="str"/>
      <x:c r="N141" s="101" t="str"/>
    </x:row>
    <x:row r="142">
      <x:c r="A142" s="100" t="n">
        <x:v>141</x:v>
      </x:c>
      <x:c r="B142" s="95" t="str">
        <x:v>FP-C02</x:v>
      </x:c>
      <x:c r="C142" s="95" t="str">
        <x:v>P3</x:v>
      </x:c>
      <x:c r="D142" s="95" t="str">
        <x:v>Food Processors</x:v>
      </x:c>
      <x:c r="E142" s="95" t="str">
        <x:v>Comparison</x:v>
      </x:c>
      <x:c r="F142" s="95" t="str">
        <x:v>Food Processor vs Mini Chopper</x:v>
      </x:c>
      <x:c r="G142" s="95" t="str">
        <x:v>Not Started</x:v>
      </x:c>
      <x:c r="H142" s="95" t="str"/>
      <x:c r="I142" s="95" t="str"/>
      <x:c r="J142" s="95" t="str"/>
      <x:c r="K142" s="95" t="str">
        <x:v>No</x:v>
      </x:c>
      <x:c r="L142" s="95" t="str">
        <x:v>No</x:v>
      </x:c>
      <x:c r="M142" s="114" t="str"/>
      <x:c r="N142" s="101" t="str"/>
    </x:row>
    <x:row r="143">
      <x:c r="A143" s="100" t="n">
        <x:v>142</x:v>
      </x:c>
      <x:c r="B143" s="95" t="str">
        <x:v>MC-C01</x:v>
      </x:c>
      <x:c r="C143" s="95" t="str">
        <x:v>P3</x:v>
      </x:c>
      <x:c r="D143" s="95" t="str">
        <x:v>Mini Choppers</x:v>
      </x:c>
      <x:c r="E143" s="95" t="str">
        <x:v>Comparison</x:v>
      </x:c>
      <x:c r="F143" s="95" t="str">
        <x:v>Mini Chopper vs Food Processor</x:v>
      </x:c>
      <x:c r="G143" s="95" t="str">
        <x:v>Not Started</x:v>
      </x:c>
      <x:c r="H143" s="95" t="str"/>
      <x:c r="I143" s="95" t="str"/>
      <x:c r="J143" s="95" t="str"/>
      <x:c r="K143" s="95" t="str">
        <x:v>No</x:v>
      </x:c>
      <x:c r="L143" s="95" t="str">
        <x:v>No</x:v>
      </x:c>
      <x:c r="M143" s="114" t="str"/>
      <x:c r="N143" s="101" t="str"/>
    </x:row>
    <x:row r="144">
      <x:c r="A144" s="100" t="n">
        <x:v>143</x:v>
      </x:c>
      <x:c r="B144" s="95" t="str">
        <x:v>RC-C01</x:v>
      </x:c>
      <x:c r="C144" s="95" t="str">
        <x:v>P3</x:v>
      </x:c>
      <x:c r="D144" s="95" t="str">
        <x:v>Rice Cookers</x:v>
      </x:c>
      <x:c r="E144" s="95" t="str">
        <x:v>Comparison</x:v>
      </x:c>
      <x:c r="F144" s="95" t="str">
        <x:v>Rice Cooker vs Instant Pot</x:v>
      </x:c>
      <x:c r="G144" s="95" t="str">
        <x:v>Not Started</x:v>
      </x:c>
      <x:c r="H144" s="95" t="str"/>
      <x:c r="I144" s="95" t="str"/>
      <x:c r="J144" s="95" t="str"/>
      <x:c r="K144" s="95" t="str">
        <x:v>No</x:v>
      </x:c>
      <x:c r="L144" s="95" t="str">
        <x:v>No</x:v>
      </x:c>
      <x:c r="M144" s="114" t="str"/>
      <x:c r="N144" s="101" t="str"/>
    </x:row>
    <x:row r="145">
      <x:c r="A145" s="100" t="n">
        <x:v>144</x:v>
      </x:c>
      <x:c r="B145" s="95" t="str">
        <x:v>TO-C03</x:v>
      </x:c>
      <x:c r="C145" s="95" t="str">
        <x:v>P3</x:v>
      </x:c>
      <x:c r="D145" s="95" t="str">
        <x:v>Toaster Ovens</x:v>
      </x:c>
      <x:c r="E145" s="95" t="str">
        <x:v>Comparison</x:v>
      </x:c>
      <x:c r="F145" s="95" t="str">
        <x:v>Toaster Oven vs Microwave</x:v>
      </x:c>
      <x:c r="G145" s="95" t="str">
        <x:v>Not Started</x:v>
      </x:c>
      <x:c r="H145" s="95" t="str"/>
      <x:c r="I145" s="95" t="str"/>
      <x:c r="J145" s="95" t="str"/>
      <x:c r="K145" s="95" t="str">
        <x:v>No</x:v>
      </x:c>
      <x:c r="L145" s="95" t="str">
        <x:v>No</x:v>
      </x:c>
      <x:c r="M145" s="114" t="str"/>
      <x:c r="N145" s="101" t="str"/>
    </x:row>
    <x:row r="146">
      <x:c r="A146" s="100" t="n">
        <x:v>145</x:v>
      </x:c>
      <x:c r="B146" s="95" t="str">
        <x:v>AF-V06</x:v>
      </x:c>
      <x:c r="C146" s="95" t="str">
        <x:v>P3</x:v>
      </x:c>
      <x:c r="D146" s="95" t="str">
        <x:v>Air Fryers</x:v>
      </x:c>
      <x:c r="E146" s="95" t="str">
        <x:v>Single Review</x:v>
      </x:c>
      <x:c r="F146" s="95" t="str">
        <x:v>Chefman TurboFry Air Fryer Review</x:v>
      </x:c>
      <x:c r="G146" s="95" t="str">
        <x:v>Not Started</x:v>
      </x:c>
      <x:c r="H146" s="95" t="str"/>
      <x:c r="I146" s="95" t="str"/>
      <x:c r="J146" s="95" t="str"/>
      <x:c r="K146" s="95" t="str">
        <x:v>No</x:v>
      </x:c>
      <x:c r="L146" s="95" t="str">
        <x:v>No</x:v>
      </x:c>
      <x:c r="M146" s="114" t="str"/>
      <x:c r="N146" s="101" t="str"/>
    </x:row>
    <x:row r="147">
      <x:c r="A147" s="100" t="n">
        <x:v>146</x:v>
      </x:c>
      <x:c r="B147" s="95" t="str">
        <x:v>BL-V05</x:v>
      </x:c>
      <x:c r="C147" s="95" t="str">
        <x:v>P3</x:v>
      </x:c>
      <x:c r="D147" s="95" t="str">
        <x:v>Blenders</x:v>
      </x:c>
      <x:c r="E147" s="95" t="str">
        <x:v>Single Review</x:v>
      </x:c>
      <x:c r="F147" s="95" t="str">
        <x:v>Beast Blender Review</x:v>
      </x:c>
      <x:c r="G147" s="95" t="str">
        <x:v>Not Started</x:v>
      </x:c>
      <x:c r="H147" s="95" t="str"/>
      <x:c r="I147" s="95" t="str"/>
      <x:c r="J147" s="95" t="str"/>
      <x:c r="K147" s="95" t="str">
        <x:v>No</x:v>
      </x:c>
      <x:c r="L147" s="95" t="str">
        <x:v>No</x:v>
      </x:c>
      <x:c r="M147" s="114" t="str"/>
      <x:c r="N147" s="101" t="str"/>
    </x:row>
    <x:row r="148">
      <x:c r="A148" s="100" t="n">
        <x:v>147</x:v>
      </x:c>
      <x:c r="B148" s="95" t="str">
        <x:v>BL-V06</x:v>
      </x:c>
      <x:c r="C148" s="95" t="str">
        <x:v>P3</x:v>
      </x:c>
      <x:c r="D148" s="95" t="str">
        <x:v>Blenders</x:v>
      </x:c>
      <x:c r="E148" s="95" t="str">
        <x:v>Single Review</x:v>
      </x:c>
      <x:c r="F148" s="95" t="str">
        <x:v>BlendJet Portable Blender Review</x:v>
      </x:c>
      <x:c r="G148" s="95" t="str">
        <x:v>Not Started</x:v>
      </x:c>
      <x:c r="H148" s="95" t="str"/>
      <x:c r="I148" s="95" t="str"/>
      <x:c r="J148" s="95" t="str"/>
      <x:c r="K148" s="95" t="str">
        <x:v>No</x:v>
      </x:c>
      <x:c r="L148" s="95" t="str">
        <x:v>No</x:v>
      </x:c>
      <x:c r="M148" s="114" t="str"/>
      <x:c r="N148" s="101" t="str"/>
    </x:row>
    <x:row r="149">
      <x:c r="A149" s="100" t="n">
        <x:v>148</x:v>
      </x:c>
      <x:c r="B149" s="95" t="str">
        <x:v>EK-V02</x:v>
      </x:c>
      <x:c r="C149" s="95" t="str">
        <x:v>P3</x:v>
      </x:c>
      <x:c r="D149" s="95" t="str">
        <x:v>Electric Kettles</x:v>
      </x:c>
      <x:c r="E149" s="95" t="str">
        <x:v>Single Review</x:v>
      </x:c>
      <x:c r="F149" s="95" t="str">
        <x:v>Cuisinart PerfecTemp Kettle Review</x:v>
      </x:c>
      <x:c r="G149" s="95" t="str">
        <x:v>Not Started</x:v>
      </x:c>
      <x:c r="H149" s="95" t="str"/>
      <x:c r="I149" s="95" t="str"/>
      <x:c r="J149" s="95" t="str"/>
      <x:c r="K149" s="95" t="str">
        <x:v>No</x:v>
      </x:c>
      <x:c r="L149" s="95" t="str">
        <x:v>No</x:v>
      </x:c>
      <x:c r="M149" s="114" t="str"/>
      <x:c r="N149" s="101" t="str"/>
    </x:row>
    <x:row r="150">
      <x:c r="A150" s="100" t="n">
        <x:v>149</x:v>
      </x:c>
      <x:c r="B150" s="95" t="str">
        <x:v>EK-V03</x:v>
      </x:c>
      <x:c r="C150" s="95" t="str">
        <x:v>P3</x:v>
      </x:c>
      <x:c r="D150" s="95" t="str">
        <x:v>Electric Kettles</x:v>
      </x:c>
      <x:c r="E150" s="95" t="str">
        <x:v>Single Review</x:v>
      </x:c>
      <x:c r="F150" s="95" t="str">
        <x:v>Cosori Gooseneck Kettle Review</x:v>
      </x:c>
      <x:c r="G150" s="95" t="str">
        <x:v>Not Started</x:v>
      </x:c>
      <x:c r="H150" s="95" t="str"/>
      <x:c r="I150" s="95" t="str"/>
      <x:c r="J150" s="95" t="str"/>
      <x:c r="K150" s="95" t="str">
        <x:v>No</x:v>
      </x:c>
      <x:c r="L150" s="95" t="str">
        <x:v>No</x:v>
      </x:c>
      <x:c r="M150" s="114" t="str"/>
      <x:c r="N150" s="101" t="str"/>
    </x:row>
    <x:row r="151">
      <x:c r="A151" s="100" t="n">
        <x:v>150</x:v>
      </x:c>
      <x:c r="B151" s="95" t="str">
        <x:v>FP-V01</x:v>
      </x:c>
      <x:c r="C151" s="95" t="str">
        <x:v>P3</x:v>
      </x:c>
      <x:c r="D151" s="95" t="str">
        <x:v>Food Processors</x:v>
      </x:c>
      <x:c r="E151" s="95" t="str">
        <x:v>Single Review</x:v>
      </x:c>
      <x:c r="F151" s="95" t="str">
        <x:v>Cuisinart 14-Cup Food Processor Review</x:v>
      </x:c>
      <x:c r="G151" s="95" t="str">
        <x:v>Not Started</x:v>
      </x:c>
      <x:c r="H151" s="95" t="str"/>
      <x:c r="I151" s="95" t="str"/>
      <x:c r="J151" s="95" t="str"/>
      <x:c r="K151" s="95" t="str">
        <x:v>No</x:v>
      </x:c>
      <x:c r="L151" s="95" t="str">
        <x:v>No</x:v>
      </x:c>
      <x:c r="M151" s="114" t="str"/>
      <x:c r="N151" s="101" t="str"/>
    </x:row>
    <x:row r="152">
      <x:c r="A152" s="100" t="n">
        <x:v>151</x:v>
      </x:c>
      <x:c r="B152" s="95" t="str">
        <x:v>TO-V02</x:v>
      </x:c>
      <x:c r="C152" s="95" t="str">
        <x:v>P3</x:v>
      </x:c>
      <x:c r="D152" s="95" t="str">
        <x:v>Toaster Ovens</x:v>
      </x:c>
      <x:c r="E152" s="95" t="str">
        <x:v>Single Review</x:v>
      </x:c>
      <x:c r="F152" s="95" t="str">
        <x:v>Cuisinart Chef's Convection Toaster Oven Review</x:v>
      </x:c>
      <x:c r="G152" s="95" t="str">
        <x:v>Not Started</x:v>
      </x:c>
      <x:c r="H152" s="95" t="str"/>
      <x:c r="I152" s="95" t="str"/>
      <x:c r="J152" s="95" t="str"/>
      <x:c r="K152" s="95" t="str">
        <x:v>No</x:v>
      </x:c>
      <x:c r="L152" s="95" t="str">
        <x:v>No</x:v>
      </x:c>
      <x:c r="M152" s="114" t="str"/>
      <x:c r="N152" s="101" t="str"/>
    </x:row>
    <x:row r="153">
      <x:c r="A153" s="100" t="n">
        <x:v>152</x:v>
      </x:c>
      <x:c r="B153" s="95" t="str">
        <x:v>TO-V03</x:v>
      </x:c>
      <x:c r="C153" s="95" t="str">
        <x:v>P3</x:v>
      </x:c>
      <x:c r="D153" s="95" t="str">
        <x:v>Toaster Ovens</x:v>
      </x:c>
      <x:c r="E153" s="95" t="str">
        <x:v>Single Review</x:v>
      </x:c>
      <x:c r="F153" s="95" t="str">
        <x:v>Ninja Foodi Digital Air Fry Oven Review</x:v>
      </x:c>
      <x:c r="G153" s="95" t="str">
        <x:v>Not Started</x:v>
      </x:c>
      <x:c r="H153" s="95" t="str"/>
      <x:c r="I153" s="95" t="str"/>
      <x:c r="J153" s="95" t="str"/>
      <x:c r="K153" s="95" t="str">
        <x:v>No</x:v>
      </x:c>
      <x:c r="L153" s="95" t="str">
        <x:v>No</x:v>
      </x:c>
      <x:c r="M153" s="114" t="str"/>
      <x:c r="N153" s="101" t="str"/>
    </x:row>
    <x:row r="154">
      <x:c r="A154" s="100" t="n">
        <x:v>153</x:v>
      </x:c>
      <x:c r="B154" s="95" t="str">
        <x:v>AF-G10</x:v>
      </x:c>
      <x:c r="C154" s="95" t="str">
        <x:v>P3</x:v>
      </x:c>
      <x:c r="D154" s="95" t="str">
        <x:v>Air Fryers</x:v>
      </x:c>
      <x:c r="E154" s="95" t="str">
        <x:v>Buying Guide</x:v>
      </x:c>
      <x:c r="F154" s="95" t="str">
        <x:v>Air Fryer Safety and Material Guide</x:v>
      </x:c>
      <x:c r="G154" s="95" t="str">
        <x:v>Not Started</x:v>
      </x:c>
      <x:c r="H154" s="95" t="str"/>
      <x:c r="I154" s="95" t="str"/>
      <x:c r="J154" s="95" t="str"/>
      <x:c r="K154" s="95" t="str">
        <x:v>No</x:v>
      </x:c>
      <x:c r="L154" s="95" t="str">
        <x:v>No</x:v>
      </x:c>
      <x:c r="M154" s="114" t="str"/>
      <x:c r="N154" s="101" t="str"/>
    </x:row>
    <x:row r="155">
      <x:c r="A155" s="100" t="n">
        <x:v>154</x:v>
      </x:c>
      <x:c r="B155" s="95" t="str">
        <x:v>CG-G01</x:v>
      </x:c>
      <x:c r="C155" s="95" t="str">
        <x:v>P3</x:v>
      </x:c>
      <x:c r="D155" s="95" t="str">
        <x:v>Coffee Grinders</x:v>
      </x:c>
      <x:c r="E155" s="95" t="str">
        <x:v>Buying Guide</x:v>
      </x:c>
      <x:c r="F155" s="95" t="str">
        <x:v>Coffee Grinder Buying Guide</x:v>
      </x:c>
      <x:c r="G155" s="95" t="str">
        <x:v>Not Started</x:v>
      </x:c>
      <x:c r="H155" s="95" t="str"/>
      <x:c r="I155" s="95" t="str"/>
      <x:c r="J155" s="95" t="str"/>
      <x:c r="K155" s="95" t="str">
        <x:v>No</x:v>
      </x:c>
      <x:c r="L155" s="95" t="str">
        <x:v>No</x:v>
      </x:c>
      <x:c r="M155" s="114" t="str"/>
      <x:c r="N155" s="101" t="str"/>
    </x:row>
    <x:row r="156">
      <x:c r="A156" s="100" t="n">
        <x:v>155</x:v>
      </x:c>
      <x:c r="B156" s="95" t="str">
        <x:v>CC-G10</x:v>
      </x:c>
      <x:c r="C156" s="95" t="str">
        <x:v>P3</x:v>
      </x:c>
      <x:c r="D156" s="95" t="str">
        <x:v>Cross-Category</x:v>
      </x:c>
      <x:c r="E156" s="95" t="str">
        <x:v>Buying Guide</x:v>
      </x:c>
      <x:c r="F156" s="95" t="str">
        <x:v>Kitchen Appliance Warranty Guide</x:v>
      </x:c>
      <x:c r="G156" s="95" t="str">
        <x:v>Not Started</x:v>
      </x:c>
      <x:c r="H156" s="95" t="str"/>
      <x:c r="I156" s="95" t="str"/>
      <x:c r="J156" s="95" t="str"/>
      <x:c r="K156" s="95" t="str">
        <x:v>No</x:v>
      </x:c>
      <x:c r="L156" s="95" t="str">
        <x:v>No</x:v>
      </x:c>
      <x:c r="M156" s="114" t="str"/>
      <x:c r="N156" s="101" t="str"/>
    </x:row>
    <x:row r="157">
      <x:c r="A157" s="100" t="n">
        <x:v>156</x:v>
      </x:c>
      <x:c r="B157" s="95" t="str">
        <x:v>FP-G01</x:v>
      </x:c>
      <x:c r="C157" s="95" t="str">
        <x:v>P3</x:v>
      </x:c>
      <x:c r="D157" s="95" t="str">
        <x:v>Food Processors</x:v>
      </x:c>
      <x:c r="E157" s="95" t="str">
        <x:v>Buying Guide</x:v>
      </x:c>
      <x:c r="F157" s="95" t="str">
        <x:v>Food Processor Buying Guide</x:v>
      </x:c>
      <x:c r="G157" s="95" t="str">
        <x:v>Not Started</x:v>
      </x:c>
      <x:c r="H157" s="95" t="str"/>
      <x:c r="I157" s="95" t="str"/>
      <x:c r="J157" s="95" t="str"/>
      <x:c r="K157" s="95" t="str">
        <x:v>No</x:v>
      </x:c>
      <x:c r="L157" s="95" t="str">
        <x:v>No</x:v>
      </x:c>
      <x:c r="M157" s="114" t="str"/>
      <x:c r="N157" s="101" t="str"/>
    </x:row>
    <x:row r="158">
      <x:c r="A158" s="100" t="n">
        <x:v>157</x:v>
      </x:c>
      <x:c r="B158" s="95" t="str">
        <x:v>MC-G01</x:v>
      </x:c>
      <x:c r="C158" s="95" t="str">
        <x:v>P3</x:v>
      </x:c>
      <x:c r="D158" s="95" t="str">
        <x:v>Mini Choppers</x:v>
      </x:c>
      <x:c r="E158" s="95" t="str">
        <x:v>Buying Guide</x:v>
      </x:c>
      <x:c r="F158" s="95" t="str">
        <x:v>Mini Food Chopper Buying Guide</x:v>
      </x:c>
      <x:c r="G158" s="95" t="str">
        <x:v>Not Started</x:v>
      </x:c>
      <x:c r="H158" s="95" t="str"/>
      <x:c r="I158" s="95" t="str"/>
      <x:c r="J158" s="95" t="str"/>
      <x:c r="K158" s="95" t="str">
        <x:v>No</x:v>
      </x:c>
      <x:c r="L158" s="95" t="str">
        <x:v>No</x:v>
      </x:c>
      <x:c r="M158" s="114" t="str"/>
      <x:c r="N158" s="101" t="str"/>
    </x:row>
    <x:row r="159">
      <x:c r="A159" s="100" t="n">
        <x:v>158</x:v>
      </x:c>
      <x:c r="B159" s="95" t="str">
        <x:v>RC-G01</x:v>
      </x:c>
      <x:c r="C159" s="95" t="str">
        <x:v>P3</x:v>
      </x:c>
      <x:c r="D159" s="95" t="str">
        <x:v>Rice Cookers</x:v>
      </x:c>
      <x:c r="E159" s="95" t="str">
        <x:v>Buying Guide</x:v>
      </x:c>
      <x:c r="F159" s="95" t="str">
        <x:v>Rice Cooker Buying Guide</x:v>
      </x:c>
      <x:c r="G159" s="95" t="str">
        <x:v>Not Started</x:v>
      </x:c>
      <x:c r="H159" s="95" t="str"/>
      <x:c r="I159" s="95" t="str"/>
      <x:c r="J159" s="95" t="str"/>
      <x:c r="K159" s="95" t="str">
        <x:v>No</x:v>
      </x:c>
      <x:c r="L159" s="95" t="str">
        <x:v>No</x:v>
      </x:c>
      <x:c r="M159" s="114" t="str"/>
      <x:c r="N159" s="101" t="str"/>
    </x:row>
    <x:row r="160">
      <x:c r="A160" s="100" t="n">
        <x:v>159</x:v>
      </x:c>
      <x:c r="B160" s="95" t="str">
        <x:v>CC-G07</x:v>
      </x:c>
      <x:c r="C160" s="95" t="str">
        <x:v>P3</x:v>
      </x:c>
      <x:c r="D160" s="95" t="str">
        <x:v>Cross-Category</x:v>
      </x:c>
      <x:c r="E160" s="95" t="str">
        <x:v>Accessory Roundup</x:v>
      </x:c>
      <x:c r="F160" s="95" t="str">
        <x:v>Best Cord Organizers for Countertop Appliances</x:v>
      </x:c>
      <x:c r="G160" s="95" t="str">
        <x:v>Not Started</x:v>
      </x:c>
      <x:c r="H160" s="95" t="str"/>
      <x:c r="I160" s="95" t="str"/>
      <x:c r="J160" s="95" t="str"/>
      <x:c r="K160" s="95" t="str">
        <x:v>No</x:v>
      </x:c>
      <x:c r="L160" s="95" t="str">
        <x:v>No</x:v>
      </x:c>
      <x:c r="M160" s="114" t="str"/>
      <x:c r="N160" s="101" t="str"/>
    </x:row>
    <x:row r="161">
      <x:c r="A161" s="100" t="n">
        <x:v>160</x:v>
      </x:c>
      <x:c r="B161" s="95" t="str">
        <x:v>AF-G08</x:v>
      </x:c>
      <x:c r="C161" s="95" t="str">
        <x:v>P3</x:v>
      </x:c>
      <x:c r="D161" s="95" t="str">
        <x:v>Air Fryers</x:v>
      </x:c>
      <x:c r="E161" s="95" t="str">
        <x:v>Informational</x:v>
      </x:c>
      <x:c r="F161" s="95" t="str">
        <x:v>How Long Do Air Fryers Last?</x:v>
      </x:c>
      <x:c r="G161" s="95" t="str">
        <x:v>Not Started</x:v>
      </x:c>
      <x:c r="H161" s="95" t="str"/>
      <x:c r="I161" s="95" t="str"/>
      <x:c r="J161" s="95" t="str"/>
      <x:c r="K161" s="95" t="str">
        <x:v>No</x:v>
      </x:c>
      <x:c r="L161" s="95" t="str">
        <x:v>No</x:v>
      </x:c>
      <x:c r="M161" s="114" t="str"/>
      <x:c r="N161" s="101" t="str"/>
    </x:row>
    <x:row r="162">
      <x:c r="A162" s="100" t="n">
        <x:v>161</x:v>
      </x:c>
      <x:c r="B162" s="95" t="str">
        <x:v>BL-G05</x:v>
      </x:c>
      <x:c r="C162" s="95" t="str">
        <x:v>P3</x:v>
      </x:c>
      <x:c r="D162" s="95" t="str">
        <x:v>Blenders</x:v>
      </x:c>
      <x:c r="E162" s="95" t="str">
        <x:v>Informational</x:v>
      </x:c>
      <x:c r="F162" s="95" t="str">
        <x:v>Why Does My Blender Smell Burnt?</x:v>
      </x:c>
      <x:c r="G162" s="95" t="str">
        <x:v>Not Started</x:v>
      </x:c>
      <x:c r="H162" s="95" t="str"/>
      <x:c r="I162" s="95" t="str"/>
      <x:c r="J162" s="95" t="str"/>
      <x:c r="K162" s="95" t="str">
        <x:v>No</x:v>
      </x:c>
      <x:c r="L162" s="95" t="str">
        <x:v>No</x:v>
      </x:c>
      <x:c r="M162" s="114" t="str"/>
      <x:c r="N162" s="101" t="str"/>
    </x:row>
    <x:row r="163">
      <x:c r="A163" s="100" t="n">
        <x:v>162</x:v>
      </x:c>
      <x:c r="B163" s="95" t="str">
        <x:v>BL-G06</x:v>
      </x:c>
      <x:c r="C163" s="95" t="str">
        <x:v>P3</x:v>
      </x:c>
      <x:c r="D163" s="95" t="str">
        <x:v>Blenders</x:v>
      </x:c>
      <x:c r="E163" s="95" t="str">
        <x:v>Informational</x:v>
      </x:c>
      <x:c r="F163" s="95" t="str">
        <x:v>Why Is My Blender Leaking?</x:v>
      </x:c>
      <x:c r="G163" s="95" t="str">
        <x:v>Not Started</x:v>
      </x:c>
      <x:c r="H163" s="95" t="str"/>
      <x:c r="I163" s="95" t="str"/>
      <x:c r="J163" s="95" t="str"/>
      <x:c r="K163" s="95" t="str">
        <x:v>No</x:v>
      </x:c>
      <x:c r="L163" s="95" t="str">
        <x:v>No</x:v>
      </x:c>
      <x:c r="M163" s="114" t="str"/>
      <x:c r="N163" s="101" t="str"/>
    </x:row>
    <x:row r="164">
      <x:c r="A164" s="100" t="n">
        <x:v>163</x:v>
      </x:c>
      <x:c r="B164" s="95" t="str">
        <x:v>BL-G09</x:v>
      </x:c>
      <x:c r="C164" s="95" t="str">
        <x:v>P3</x:v>
      </x:c>
      <x:c r="D164" s="95" t="str">
        <x:v>Blenders</x:v>
      </x:c>
      <x:c r="E164" s="95" t="str">
        <x:v>Informational</x:v>
      </x:c>
      <x:c r="F164" s="95" t="str">
        <x:v>How Long Do Blenders Last?</x:v>
      </x:c>
      <x:c r="G164" s="95" t="str">
        <x:v>Not Started</x:v>
      </x:c>
      <x:c r="H164" s="95" t="str"/>
      <x:c r="I164" s="95" t="str"/>
      <x:c r="J164" s="95" t="str"/>
      <x:c r="K164" s="95" t="str">
        <x:v>No</x:v>
      </x:c>
      <x:c r="L164" s="95" t="str">
        <x:v>No</x:v>
      </x:c>
      <x:c r="M164" s="114" t="str"/>
      <x:c r="N164" s="101" t="str"/>
    </x:row>
    <x:row r="165">
      <x:c r="A165" s="100" t="n">
        <x:v>164</x:v>
      </x:c>
      <x:c r="B165" s="95" t="str">
        <x:v>BL-G10</x:v>
      </x:c>
      <x:c r="C165" s="95" t="str">
        <x:v>P3</x:v>
      </x:c>
      <x:c r="D165" s="95" t="str">
        <x:v>Blenders</x:v>
      </x:c>
      <x:c r="E165" s="95" t="str">
        <x:v>Informational</x:v>
      </x:c>
      <x:c r="F165" s="95" t="str">
        <x:v>Is a High-Powered Blender Worth It?</x:v>
      </x:c>
      <x:c r="G165" s="95" t="str">
        <x:v>Not Started</x:v>
      </x:c>
      <x:c r="H165" s="95" t="str"/>
      <x:c r="I165" s="95" t="str"/>
      <x:c r="J165" s="95" t="str"/>
      <x:c r="K165" s="95" t="str">
        <x:v>No</x:v>
      </x:c>
      <x:c r="L165" s="95" t="str">
        <x:v>No</x:v>
      </x:c>
      <x:c r="M165" s="114" t="str"/>
      <x:c r="N165" s="101" t="str"/>
    </x:row>
    <x:row r="166">
      <x:c r="A166" s="100" t="n">
        <x:v>165</x:v>
      </x:c>
      <x:c r="B166" s="95" t="str">
        <x:v>CG-G02</x:v>
      </x:c>
      <x:c r="C166" s="95" t="str">
        <x:v>P3</x:v>
      </x:c>
      <x:c r="D166" s="95" t="str">
        <x:v>Coffee Grinders</x:v>
      </x:c>
      <x:c r="E166" s="95" t="str">
        <x:v>Informational</x:v>
      </x:c>
      <x:c r="F166" s="95" t="str">
        <x:v>Coffee Grind Size Chart</x:v>
      </x:c>
      <x:c r="G166" s="95" t="str">
        <x:v>Not Started</x:v>
      </x:c>
      <x:c r="H166" s="95" t="str"/>
      <x:c r="I166" s="95" t="str"/>
      <x:c r="J166" s="95" t="str"/>
      <x:c r="K166" s="95" t="str">
        <x:v>No</x:v>
      </x:c>
      <x:c r="L166" s="95" t="str">
        <x:v>No</x:v>
      </x:c>
      <x:c r="M166" s="114" t="str"/>
      <x:c r="N166" s="101" t="str"/>
    </x:row>
    <x:row r="167">
      <x:c r="A167" s="100" t="n">
        <x:v>166</x:v>
      </x:c>
      <x:c r="B167" s="95" t="str">
        <x:v>CC-G09</x:v>
      </x:c>
      <x:c r="C167" s="95" t="str">
        <x:v>P3</x:v>
      </x:c>
      <x:c r="D167" s="95" t="str">
        <x:v>Cross-Category</x:v>
      </x:c>
      <x:c r="E167" s="95" t="str">
        <x:v>Informational</x:v>
      </x:c>
      <x:c r="F167" s="95" t="str">
        <x:v>When Should You Replace a Small Kitchen Appliance?</x:v>
      </x:c>
      <x:c r="G167" s="95" t="str">
        <x:v>Not Started</x:v>
      </x:c>
      <x:c r="H167" s="95" t="str"/>
      <x:c r="I167" s="95" t="str"/>
      <x:c r="J167" s="95" t="str"/>
      <x:c r="K167" s="95" t="str">
        <x:v>No</x:v>
      </x:c>
      <x:c r="L167" s="95" t="str">
        <x:v>No</x:v>
      </x:c>
      <x:c r="M167" s="114" t="str"/>
      <x:c r="N167" s="101" t="str"/>
    </x:row>
    <x:row r="168">
      <x:c r="A168" s="100" t="n">
        <x:v>167</x:v>
      </x:c>
      <x:c r="B168" s="95" t="str">
        <x:v>EK-G02</x:v>
      </x:c>
      <x:c r="C168" s="95" t="str">
        <x:v>P3</x:v>
      </x:c>
      <x:c r="D168" s="95" t="str">
        <x:v>Electric Kettles</x:v>
      </x:c>
      <x:c r="E168" s="95" t="str">
        <x:v>Informational</x:v>
      </x:c>
      <x:c r="F168" s="95" t="str">
        <x:v>What Temperature Should Tea Water Be?</x:v>
      </x:c>
      <x:c r="G168" s="95" t="str">
        <x:v>Not Started</x:v>
      </x:c>
      <x:c r="H168" s="95" t="str"/>
      <x:c r="I168" s="95" t="str"/>
      <x:c r="J168" s="95" t="str"/>
      <x:c r="K168" s="95" t="str">
        <x:v>No</x:v>
      </x:c>
      <x:c r="L168" s="95" t="str">
        <x:v>No</x:v>
      </x:c>
      <x:c r="M168" s="114" t="str"/>
      <x:c r="N168" s="101" t="str"/>
    </x:row>
    <x:row r="169">
      <x:c r="A169" s="100" t="n">
        <x:v>168</x:v>
      </x:c>
      <x:c r="B169" s="95" t="str">
        <x:v>EK-G04</x:v>
      </x:c>
      <x:c r="C169" s="95" t="str">
        <x:v>P3</x:v>
      </x:c>
      <x:c r="D169" s="95" t="str">
        <x:v>Electric Kettles</x:v>
      </x:c>
      <x:c r="E169" s="95" t="str">
        <x:v>Informational</x:v>
      </x:c>
      <x:c r="F169" s="95" t="str">
        <x:v>How Many Watts Does an Electric Kettle Use?</x:v>
      </x:c>
      <x:c r="G169" s="95" t="str">
        <x:v>Not Started</x:v>
      </x:c>
      <x:c r="H169" s="95" t="str"/>
      <x:c r="I169" s="95" t="str"/>
      <x:c r="J169" s="95" t="str"/>
      <x:c r="K169" s="95" t="str">
        <x:v>No</x:v>
      </x:c>
      <x:c r="L169" s="95" t="str">
        <x:v>No</x:v>
      </x:c>
      <x:c r="M169" s="114" t="str"/>
      <x:c r="N169" s="101" t="str"/>
    </x:row>
    <x:row r="170">
      <x:c r="A170" s="100" t="n">
        <x:v>169</x:v>
      </x:c>
      <x:c r="B170" s="95" t="str">
        <x:v>EK-G05</x:v>
      </x:c>
      <x:c r="C170" s="95" t="str">
        <x:v>P3</x:v>
      </x:c>
      <x:c r="D170" s="95" t="str">
        <x:v>Electric Kettles</x:v>
      </x:c>
      <x:c r="E170" s="95" t="str">
        <x:v>Informational</x:v>
      </x:c>
      <x:c r="F170" s="95" t="str">
        <x:v>Are Glass Electric Kettles Safe?</x:v>
      </x:c>
      <x:c r="G170" s="95" t="str">
        <x:v>Not Started</x:v>
      </x:c>
      <x:c r="H170" s="95" t="str"/>
      <x:c r="I170" s="95" t="str"/>
      <x:c r="J170" s="95" t="str"/>
      <x:c r="K170" s="95" t="str">
        <x:v>No</x:v>
      </x:c>
      <x:c r="L170" s="95" t="str">
        <x:v>No</x:v>
      </x:c>
      <x:c r="M170" s="114" t="str"/>
      <x:c r="N170" s="101" t="str"/>
    </x:row>
    <x:row r="171">
      <x:c r="A171" s="100" t="n">
        <x:v>170</x:v>
      </x:c>
      <x:c r="B171" s="95" t="str">
        <x:v>EK-G06</x:v>
      </x:c>
      <x:c r="C171" s="95" t="str">
        <x:v>P3</x:v>
      </x:c>
      <x:c r="D171" s="95" t="str">
        <x:v>Electric Kettles</x:v>
      </x:c>
      <x:c r="E171" s="95" t="str">
        <x:v>Informational</x:v>
      </x:c>
      <x:c r="F171" s="95" t="str">
        <x:v>How Long Do Electric Kettles Last?</x:v>
      </x:c>
      <x:c r="G171" s="95" t="str">
        <x:v>Not Started</x:v>
      </x:c>
      <x:c r="H171" s="95" t="str"/>
      <x:c r="I171" s="95" t="str"/>
      <x:c r="J171" s="95" t="str"/>
      <x:c r="K171" s="95" t="str">
        <x:v>No</x:v>
      </x:c>
      <x:c r="L171" s="95" t="str">
        <x:v>No</x:v>
      </x:c>
      <x:c r="M171" s="114" t="str"/>
      <x:c r="N171" s="101" t="str"/>
    </x:row>
    <x:row r="172">
      <x:c r="A172" s="100" t="n">
        <x:v>171</x:v>
      </x:c>
      <x:c r="B172" s="95" t="str">
        <x:v>EK-G07</x:v>
      </x:c>
      <x:c r="C172" s="95" t="str">
        <x:v>P3</x:v>
      </x:c>
      <x:c r="D172" s="95" t="str">
        <x:v>Electric Kettles</x:v>
      </x:c>
      <x:c r="E172" s="95" t="str">
        <x:v>Informational</x:v>
      </x:c>
      <x:c r="F172" s="95" t="str">
        <x:v>Do Electric Kettles Turn Off Automatically?</x:v>
      </x:c>
      <x:c r="G172" s="95" t="str">
        <x:v>Not Started</x:v>
      </x:c>
      <x:c r="H172" s="95" t="str"/>
      <x:c r="I172" s="95" t="str"/>
      <x:c r="J172" s="95" t="str"/>
      <x:c r="K172" s="95" t="str">
        <x:v>No</x:v>
      </x:c>
      <x:c r="L172" s="95" t="str">
        <x:v>No</x:v>
      </x:c>
      <x:c r="M172" s="114" t="str"/>
      <x:c r="N172" s="101" t="str"/>
    </x:row>
    <x:row r="173">
      <x:c r="A173" s="100" t="n">
        <x:v>172</x:v>
      </x:c>
      <x:c r="B173" s="95" t="str">
        <x:v>FP-G02</x:v>
      </x:c>
      <x:c r="C173" s="95" t="str">
        <x:v>P3</x:v>
      </x:c>
      <x:c r="D173" s="95" t="str">
        <x:v>Food Processors</x:v>
      </x:c>
      <x:c r="E173" s="95" t="str">
        <x:v>Informational</x:v>
      </x:c>
      <x:c r="F173" s="95" t="str">
        <x:v>What Size Food Processor Do I Need?</x:v>
      </x:c>
      <x:c r="G173" s="95" t="str">
        <x:v>Not Started</x:v>
      </x:c>
      <x:c r="H173" s="95" t="str"/>
      <x:c r="I173" s="95" t="str"/>
      <x:c r="J173" s="95" t="str"/>
      <x:c r="K173" s="95" t="str">
        <x:v>No</x:v>
      </x:c>
      <x:c r="L173" s="95" t="str">
        <x:v>No</x:v>
      </x:c>
      <x:c r="M173" s="114" t="str"/>
      <x:c r="N173" s="101" t="str"/>
    </x:row>
    <x:row r="174">
      <x:c r="A174" s="100" t="n">
        <x:v>173</x:v>
      </x:c>
      <x:c r="B174" s="95" t="str">
        <x:v>FP-G05</x:v>
      </x:c>
      <x:c r="C174" s="95" t="str">
        <x:v>P3</x:v>
      </x:c>
      <x:c r="D174" s="95" t="str">
        <x:v>Food Processors</x:v>
      </x:c>
      <x:c r="E174" s="95" t="str">
        <x:v>Informational</x:v>
      </x:c>
      <x:c r="F174" s="95" t="str">
        <x:v>Can a Food Processor Knead Dough?</x:v>
      </x:c>
      <x:c r="G174" s="95" t="str">
        <x:v>Not Started</x:v>
      </x:c>
      <x:c r="H174" s="95" t="str"/>
      <x:c r="I174" s="95" t="str"/>
      <x:c r="J174" s="95" t="str"/>
      <x:c r="K174" s="95" t="str">
        <x:v>No</x:v>
      </x:c>
      <x:c r="L174" s="95" t="str">
        <x:v>No</x:v>
      </x:c>
      <x:c r="M174" s="114" t="str"/>
      <x:c r="N174" s="101" t="str"/>
    </x:row>
    <x:row r="175">
      <x:c r="A175" s="100" t="n">
        <x:v>174</x:v>
      </x:c>
      <x:c r="B175" s="95" t="str">
        <x:v>RC-G02</x:v>
      </x:c>
      <x:c r="C175" s="95" t="str">
        <x:v>P3</x:v>
      </x:c>
      <x:c r="D175" s="95" t="str">
        <x:v>Rice Cookers</x:v>
      </x:c>
      <x:c r="E175" s="95" t="str">
        <x:v>Informational</x:v>
      </x:c>
      <x:c r="F175" s="95" t="str">
        <x:v>What Size Rice Cooker Do I Need?</x:v>
      </x:c>
      <x:c r="G175" s="95" t="str">
        <x:v>Not Started</x:v>
      </x:c>
      <x:c r="H175" s="95" t="str"/>
      <x:c r="I175" s="95" t="str"/>
      <x:c r="J175" s="95" t="str"/>
      <x:c r="K175" s="95" t="str">
        <x:v>No</x:v>
      </x:c>
      <x:c r="L175" s="95" t="str">
        <x:v>No</x:v>
      </x:c>
      <x:c r="M175" s="114" t="str"/>
      <x:c r="N175" s="101" t="str"/>
    </x:row>
    <x:row r="176">
      <x:c r="A176" s="100" t="n">
        <x:v>175</x:v>
      </x:c>
      <x:c r="B176" s="95" t="str">
        <x:v>TO-G02</x:v>
      </x:c>
      <x:c r="C176" s="95" t="str">
        <x:v>P3</x:v>
      </x:c>
      <x:c r="D176" s="95" t="str">
        <x:v>Toaster Ovens</x:v>
      </x:c>
      <x:c r="E176" s="95" t="str">
        <x:v>Informational</x:v>
      </x:c>
      <x:c r="F176" s="95" t="str">
        <x:v>What Size Toaster Oven Do I Need?</x:v>
      </x:c>
      <x:c r="G176" s="95" t="str">
        <x:v>Not Started</x:v>
      </x:c>
      <x:c r="H176" s="95" t="str"/>
      <x:c r="I176" s="95" t="str"/>
      <x:c r="J176" s="95" t="str"/>
      <x:c r="K176" s="95" t="str">
        <x:v>No</x:v>
      </x:c>
      <x:c r="L176" s="95" t="str">
        <x:v>No</x:v>
      </x:c>
      <x:c r="M176" s="114" t="str"/>
      <x:c r="N176" s="101" t="str"/>
    </x:row>
    <x:row r="177">
      <x:c r="A177" s="100" t="n">
        <x:v>176</x:v>
      </x:c>
      <x:c r="B177" s="95" t="str">
        <x:v>TO-G04</x:v>
      </x:c>
      <x:c r="C177" s="95" t="str">
        <x:v>P3</x:v>
      </x:c>
      <x:c r="D177" s="95" t="str">
        <x:v>Toaster Ovens</x:v>
      </x:c>
      <x:c r="E177" s="95" t="str">
        <x:v>Informational</x:v>
      </x:c>
      <x:c r="F177" s="95" t="str">
        <x:v>Can You Bake in a Toaster Oven?</x:v>
      </x:c>
      <x:c r="G177" s="95" t="str">
        <x:v>Not Started</x:v>
      </x:c>
      <x:c r="H177" s="95" t="str"/>
      <x:c r="I177" s="95" t="str"/>
      <x:c r="J177" s="95" t="str"/>
      <x:c r="K177" s="95" t="str">
        <x:v>No</x:v>
      </x:c>
      <x:c r="L177" s="95" t="str">
        <x:v>No</x:v>
      </x:c>
      <x:c r="M177" s="114" t="str"/>
      <x:c r="N177" s="101" t="str"/>
    </x:row>
    <x:row r="178">
      <x:c r="A178" s="100" t="n">
        <x:v>177</x:v>
      </x:c>
      <x:c r="B178" s="95" t="str">
        <x:v>TO-G05</x:v>
      </x:c>
      <x:c r="C178" s="95" t="str">
        <x:v>P3</x:v>
      </x:c>
      <x:c r="D178" s="95" t="str">
        <x:v>Toaster Ovens</x:v>
      </x:c>
      <x:c r="E178" s="95" t="str">
        <x:v>Informational</x:v>
      </x:c>
      <x:c r="F178" s="95" t="str">
        <x:v>How Much Electricity Does a Toaster Oven Use?</x:v>
      </x:c>
      <x:c r="G178" s="95" t="str">
        <x:v>Not Started</x:v>
      </x:c>
      <x:c r="H178" s="95" t="str"/>
      <x:c r="I178" s="95" t="str"/>
      <x:c r="J178" s="95" t="str"/>
      <x:c r="K178" s="95" t="str">
        <x:v>No</x:v>
      </x:c>
      <x:c r="L178" s="95" t="str">
        <x:v>No</x:v>
      </x:c>
      <x:c r="M178" s="114" t="str"/>
      <x:c r="N178" s="101" t="str"/>
    </x:row>
    <x:row r="179">
      <x:c r="A179" s="100" t="n">
        <x:v>178</x:v>
      </x:c>
      <x:c r="B179" s="95" t="str">
        <x:v>CC-G08</x:v>
      </x:c>
      <x:c r="C179" s="95" t="str">
        <x:v>P3</x:v>
      </x:c>
      <x:c r="D179" s="95" t="str">
        <x:v>Cross-Category</x:v>
      </x:c>
      <x:c r="E179" s="95" t="str">
        <x:v>How-To</x:v>
      </x:c>
      <x:c r="F179" s="95" t="str">
        <x:v>How to Clean Grease from Countertop Appliances</x:v>
      </x:c>
      <x:c r="G179" s="95" t="str">
        <x:v>Not Started</x:v>
      </x:c>
      <x:c r="H179" s="95" t="str"/>
      <x:c r="I179" s="95" t="str"/>
      <x:c r="J179" s="95" t="str"/>
      <x:c r="K179" s="95" t="str">
        <x:v>No</x:v>
      </x:c>
      <x:c r="L179" s="95" t="str">
        <x:v>No</x:v>
      </x:c>
      <x:c r="M179" s="114" t="str"/>
      <x:c r="N179" s="101" t="str"/>
    </x:row>
    <x:row r="180">
      <x:c r="A180" s="100" t="n">
        <x:v>179</x:v>
      </x:c>
      <x:c r="B180" s="95" t="str">
        <x:v>FP-G03</x:v>
      </x:c>
      <x:c r="C180" s="95" t="str">
        <x:v>P3</x:v>
      </x:c>
      <x:c r="D180" s="95" t="str">
        <x:v>Food Processors</x:v>
      </x:c>
      <x:c r="E180" s="95" t="str">
        <x:v>How-To</x:v>
      </x:c>
      <x:c r="F180" s="95" t="str">
        <x:v>How to Use a Food Processor</x:v>
      </x:c>
      <x:c r="G180" s="95" t="str">
        <x:v>Not Started</x:v>
      </x:c>
      <x:c r="H180" s="95" t="str"/>
      <x:c r="I180" s="95" t="str"/>
      <x:c r="J180" s="95" t="str"/>
      <x:c r="K180" s="95" t="str">
        <x:v>No</x:v>
      </x:c>
      <x:c r="L180" s="95" t="str">
        <x:v>No</x:v>
      </x:c>
      <x:c r="M180" s="114" t="str"/>
      <x:c r="N180" s="101" t="str"/>
    </x:row>
    <x:row r="181">
      <x:c r="A181" s="100" t="n">
        <x:v>180</x:v>
      </x:c>
      <x:c r="B181" s="95" t="str">
        <x:v>TO-G03</x:v>
      </x:c>
      <x:c r="C181" s="95" t="str">
        <x:v>P3</x:v>
      </x:c>
      <x:c r="D181" s="95" t="str">
        <x:v>Toaster Ovens</x:v>
      </x:c>
      <x:c r="E181" s="95" t="str">
        <x:v>How-To</x:v>
      </x:c>
      <x:c r="F181" s="95" t="str">
        <x:v>How to Clean a Toaster Oven</x:v>
      </x:c>
      <x:c r="G181" s="95" t="str">
        <x:v>Not Started</x:v>
      </x:c>
      <x:c r="H181" s="95" t="str"/>
      <x:c r="I181" s="95" t="str"/>
      <x:c r="J181" s="95" t="str"/>
      <x:c r="K181" s="95" t="str">
        <x:v>No</x:v>
      </x:c>
      <x:c r="L181" s="95" t="str">
        <x:v>No</x:v>
      </x:c>
      <x:c r="M181" s="114" t="str"/>
      <x:c r="N181" s="101" t="str"/>
    </x:row>
    <x:row r="182">
      <x:c r="A182" s="100" t="n">
        <x:v>181</x:v>
      </x:c>
      <x:c r="B182" s="95" t="str">
        <x:v>WM-HUB</x:v>
      </x:c>
      <x:c r="C182" s="95" t="str">
        <x:v>P4</x:v>
      </x:c>
      <x:c r="D182" s="95" t="str">
        <x:v>Waffle Makers</x:v>
      </x:c>
      <x:c r="E182" s="95" t="str">
        <x:v>Category Hub</x:v>
      </x:c>
      <x:c r="F182" s="95" t="str">
        <x:v>Waffle Maker Reviews, Comparisons and Buying Guides</x:v>
      </x:c>
      <x:c r="G182" s="95" t="str">
        <x:v>Not Started</x:v>
      </x:c>
      <x:c r="H182" s="95" t="str"/>
      <x:c r="I182" s="95" t="str"/>
      <x:c r="J182" s="95" t="str"/>
      <x:c r="K182" s="95" t="str">
        <x:v>No</x:v>
      </x:c>
      <x:c r="L182" s="95" t="str">
        <x:v>No</x:v>
      </x:c>
      <x:c r="M182" s="114" t="str"/>
      <x:c r="N182" s="101" t="str"/>
    </x:row>
    <x:row r="183">
      <x:c r="A183" s="100" t="n">
        <x:v>182</x:v>
      </x:c>
      <x:c r="B183" s="95" t="str">
        <x:v>WM-PIL</x:v>
      </x:c>
      <x:c r="C183" s="95" t="str">
        <x:v>P4</x:v>
      </x:c>
      <x:c r="D183" s="95" t="str">
        <x:v>Waffle Makers</x:v>
      </x:c>
      <x:c r="E183" s="95" t="str">
        <x:v>Commercial Pillar</x:v>
      </x:c>
      <x:c r="F183" s="95" t="str">
        <x:v>Best Waffle Makers for Belgian and Classic Waffles</x:v>
      </x:c>
      <x:c r="G183" s="95" t="str">
        <x:v>Not Started</x:v>
      </x:c>
      <x:c r="H183" s="95" t="str"/>
      <x:c r="I183" s="95" t="str"/>
      <x:c r="J183" s="95" t="str"/>
      <x:c r="K183" s="95" t="str">
        <x:v>No</x:v>
      </x:c>
      <x:c r="L183" s="95" t="str">
        <x:v>No</x:v>
      </x:c>
      <x:c r="M183" s="114" t="str"/>
      <x:c r="N183" s="101" t="str"/>
    </x:row>
    <x:row r="184">
      <x:c r="A184" s="100" t="n">
        <x:v>183</x:v>
      </x:c>
      <x:c r="B184" s="95" t="str">
        <x:v>CG-R04</x:v>
      </x:c>
      <x:c r="C184" s="95" t="str">
        <x:v>P4</x:v>
      </x:c>
      <x:c r="D184" s="95" t="str">
        <x:v>Coffee Grinders</x:v>
      </x:c>
      <x:c r="E184" s="95" t="str">
        <x:v>Roundup</x:v>
      </x:c>
      <x:c r="F184" s="95" t="str">
        <x:v>Best Coffee Grinders for Pour-Over</x:v>
      </x:c>
      <x:c r="G184" s="95" t="str">
        <x:v>Not Started</x:v>
      </x:c>
      <x:c r="H184" s="95" t="str"/>
      <x:c r="I184" s="95" t="str"/>
      <x:c r="J184" s="95" t="str"/>
      <x:c r="K184" s="95" t="str">
        <x:v>No</x:v>
      </x:c>
      <x:c r="L184" s="95" t="str">
        <x:v>No</x:v>
      </x:c>
      <x:c r="M184" s="114" t="str"/>
      <x:c r="N184" s="101" t="str"/>
    </x:row>
    <x:row r="185">
      <x:c r="A185" s="100" t="n">
        <x:v>184</x:v>
      </x:c>
      <x:c r="B185" s="95" t="str">
        <x:v>CG-R05</x:v>
      </x:c>
      <x:c r="C185" s="95" t="str">
        <x:v>P4</x:v>
      </x:c>
      <x:c r="D185" s="95" t="str">
        <x:v>Coffee Grinders</x:v>
      </x:c>
      <x:c r="E185" s="95" t="str">
        <x:v>Roundup</x:v>
      </x:c>
      <x:c r="F185" s="95" t="str">
        <x:v>Best Coffee Grinders for French Press</x:v>
      </x:c>
      <x:c r="G185" s="95" t="str">
        <x:v>Not Started</x:v>
      </x:c>
      <x:c r="H185" s="95" t="str"/>
      <x:c r="I185" s="95" t="str"/>
      <x:c r="J185" s="95" t="str"/>
      <x:c r="K185" s="95" t="str">
        <x:v>No</x:v>
      </x:c>
      <x:c r="L185" s="95" t="str">
        <x:v>No</x:v>
      </x:c>
      <x:c r="M185" s="114" t="str"/>
      <x:c r="N185" s="101" t="str"/>
    </x:row>
    <x:row r="186">
      <x:c r="A186" s="100" t="n">
        <x:v>185</x:v>
      </x:c>
      <x:c r="B186" s="95" t="str">
        <x:v>CG-R06</x:v>
      </x:c>
      <x:c r="C186" s="95" t="str">
        <x:v>P4</x:v>
      </x:c>
      <x:c r="D186" s="95" t="str">
        <x:v>Coffee Grinders</x:v>
      </x:c>
      <x:c r="E186" s="95" t="str">
        <x:v>Roundup</x:v>
      </x:c>
      <x:c r="F186" s="95" t="str">
        <x:v>Best Quiet Coffee Grinders</x:v>
      </x:c>
      <x:c r="G186" s="95" t="str">
        <x:v>Not Started</x:v>
      </x:c>
      <x:c r="H186" s="95" t="str"/>
      <x:c r="I186" s="95" t="str"/>
      <x:c r="J186" s="95" t="str"/>
      <x:c r="K186" s="95" t="str">
        <x:v>No</x:v>
      </x:c>
      <x:c r="L186" s="95" t="str">
        <x:v>No</x:v>
      </x:c>
      <x:c r="M186" s="114" t="str"/>
      <x:c r="N186" s="101" t="str"/>
    </x:row>
    <x:row r="187">
      <x:c r="A187" s="100" t="n">
        <x:v>186</x:v>
      </x:c>
      <x:c r="B187" s="95" t="str">
        <x:v>CG-R07</x:v>
      </x:c>
      <x:c r="C187" s="95" t="str">
        <x:v>P4</x:v>
      </x:c>
      <x:c r="D187" s="95" t="str">
        <x:v>Coffee Grinders</x:v>
      </x:c>
      <x:c r="E187" s="95" t="str">
        <x:v>Roundup</x:v>
      </x:c>
      <x:c r="F187" s="95" t="str">
        <x:v>Best Compact Coffee Grinders</x:v>
      </x:c>
      <x:c r="G187" s="95" t="str">
        <x:v>Not Started</x:v>
      </x:c>
      <x:c r="H187" s="95" t="str"/>
      <x:c r="I187" s="95" t="str"/>
      <x:c r="J187" s="95" t="str"/>
      <x:c r="K187" s="95" t="str">
        <x:v>No</x:v>
      </x:c>
      <x:c r="L187" s="95" t="str">
        <x:v>No</x:v>
      </x:c>
      <x:c r="M187" s="114" t="str"/>
      <x:c r="N187" s="101" t="str"/>
    </x:row>
    <x:row r="188">
      <x:c r="A188" s="100" t="n">
        <x:v>187</x:v>
      </x:c>
      <x:c r="B188" s="95" t="str">
        <x:v>FP-R07</x:v>
      </x:c>
      <x:c r="C188" s="95" t="str">
        <x:v>P4</x:v>
      </x:c>
      <x:c r="D188" s="95" t="str">
        <x:v>Food Processors</x:v>
      </x:c>
      <x:c r="E188" s="95" t="str">
        <x:v>Roundup</x:v>
      </x:c>
      <x:c r="F188" s="95" t="str">
        <x:v>Best Food Processors for Large Families</x:v>
      </x:c>
      <x:c r="G188" s="95" t="str">
        <x:v>Not Started</x:v>
      </x:c>
      <x:c r="H188" s="95" t="str"/>
      <x:c r="I188" s="95" t="str"/>
      <x:c r="J188" s="95" t="str"/>
      <x:c r="K188" s="95" t="str">
        <x:v>No</x:v>
      </x:c>
      <x:c r="L188" s="95" t="str">
        <x:v>No</x:v>
      </x:c>
      <x:c r="M188" s="114" t="str"/>
      <x:c r="N188" s="101" t="str"/>
    </x:row>
    <x:row r="189">
      <x:c r="A189" s="100" t="n">
        <x:v>188</x:v>
      </x:c>
      <x:c r="B189" s="95" t="str">
        <x:v>FP-R08</x:v>
      </x:c>
      <x:c r="C189" s="95" t="str">
        <x:v>P4</x:v>
      </x:c>
      <x:c r="D189" s="95" t="str">
        <x:v>Food Processors</x:v>
      </x:c>
      <x:c r="E189" s="95" t="str">
        <x:v>Roundup</x:v>
      </x:c>
      <x:c r="F189" s="95" t="str">
        <x:v>Best Easy-to-Clean Food Processors</x:v>
      </x:c>
      <x:c r="G189" s="95" t="str">
        <x:v>Not Started</x:v>
      </x:c>
      <x:c r="H189" s="95" t="str"/>
      <x:c r="I189" s="95" t="str"/>
      <x:c r="J189" s="95" t="str"/>
      <x:c r="K189" s="95" t="str">
        <x:v>No</x:v>
      </x:c>
      <x:c r="L189" s="95" t="str">
        <x:v>No</x:v>
      </x:c>
      <x:c r="M189" s="114" t="str"/>
      <x:c r="N189" s="101" t="str"/>
    </x:row>
    <x:row r="190">
      <x:c r="A190" s="100" t="n">
        <x:v>189</x:v>
      </x:c>
      <x:c r="B190" s="95" t="str">
        <x:v>MC-R04</x:v>
      </x:c>
      <x:c r="C190" s="95" t="str">
        <x:v>P4</x:v>
      </x:c>
      <x:c r="D190" s="95" t="str">
        <x:v>Mini Choppers</x:v>
      </x:c>
      <x:c r="E190" s="95" t="str">
        <x:v>Roundup</x:v>
      </x:c>
      <x:c r="F190" s="95" t="str">
        <x:v>Best Mini Choppers for Garlic</x:v>
      </x:c>
      <x:c r="G190" s="95" t="str">
        <x:v>Not Started</x:v>
      </x:c>
      <x:c r="H190" s="95" t="str"/>
      <x:c r="I190" s="95" t="str"/>
      <x:c r="J190" s="95" t="str"/>
      <x:c r="K190" s="95" t="str">
        <x:v>No</x:v>
      </x:c>
      <x:c r="L190" s="95" t="str">
        <x:v>No</x:v>
      </x:c>
      <x:c r="M190" s="114" t="str"/>
      <x:c r="N190" s="101" t="str"/>
    </x:row>
    <x:row r="191">
      <x:c r="A191" s="100" t="n">
        <x:v>190</x:v>
      </x:c>
      <x:c r="B191" s="95" t="str">
        <x:v>MC-R05</x:v>
      </x:c>
      <x:c r="C191" s="95" t="str">
        <x:v>P4</x:v>
      </x:c>
      <x:c r="D191" s="95" t="str">
        <x:v>Mini Choppers</x:v>
      </x:c>
      <x:c r="E191" s="95" t="str">
        <x:v>Roundup</x:v>
      </x:c>
      <x:c r="F191" s="95" t="str">
        <x:v>Best Cordless Mini Choppers</x:v>
      </x:c>
      <x:c r="G191" s="95" t="str">
        <x:v>Not Started</x:v>
      </x:c>
      <x:c r="H191" s="95" t="str"/>
      <x:c r="I191" s="95" t="str"/>
      <x:c r="J191" s="95" t="str"/>
      <x:c r="K191" s="95" t="str">
        <x:v>No</x:v>
      </x:c>
      <x:c r="L191" s="95" t="str">
        <x:v>No</x:v>
      </x:c>
      <x:c r="M191" s="114" t="str"/>
      <x:c r="N191" s="101" t="str"/>
    </x:row>
    <x:row r="192">
      <x:c r="A192" s="100" t="n">
        <x:v>191</x:v>
      </x:c>
      <x:c r="B192" s="95" t="str">
        <x:v>RC-R04</x:v>
      </x:c>
      <x:c r="C192" s="95" t="str">
        <x:v>P4</x:v>
      </x:c>
      <x:c r="D192" s="95" t="str">
        <x:v>Rice Cookers</x:v>
      </x:c>
      <x:c r="E192" s="95" t="str">
        <x:v>Roundup</x:v>
      </x:c>
      <x:c r="F192" s="95" t="str">
        <x:v>Best Rice Cookers for Sticky Rice</x:v>
      </x:c>
      <x:c r="G192" s="95" t="str">
        <x:v>Not Started</x:v>
      </x:c>
      <x:c r="H192" s="95" t="str"/>
      <x:c r="I192" s="95" t="str"/>
      <x:c r="J192" s="95" t="str"/>
      <x:c r="K192" s="95" t="str">
        <x:v>No</x:v>
      </x:c>
      <x:c r="L192" s="95" t="str">
        <x:v>No</x:v>
      </x:c>
      <x:c r="M192" s="114" t="str"/>
      <x:c r="N192" s="101" t="str"/>
    </x:row>
    <x:row r="193">
      <x:c r="A193" s="100" t="n">
        <x:v>192</x:v>
      </x:c>
      <x:c r="B193" s="95" t="str">
        <x:v>RC-R05</x:v>
      </x:c>
      <x:c r="C193" s="95" t="str">
        <x:v>P4</x:v>
      </x:c>
      <x:c r="D193" s="95" t="str">
        <x:v>Rice Cookers</x:v>
      </x:c>
      <x:c r="E193" s="95" t="str">
        <x:v>Roundup</x:v>
      </x:c>
      <x:c r="F193" s="95" t="str">
        <x:v>Best Rice Cookers for Large Families</x:v>
      </x:c>
      <x:c r="G193" s="95" t="str">
        <x:v>Not Started</x:v>
      </x:c>
      <x:c r="H193" s="95" t="str"/>
      <x:c r="I193" s="95" t="str"/>
      <x:c r="J193" s="95" t="str"/>
      <x:c r="K193" s="95" t="str">
        <x:v>No</x:v>
      </x:c>
      <x:c r="L193" s="95" t="str">
        <x:v>No</x:v>
      </x:c>
      <x:c r="M193" s="114" t="str"/>
      <x:c r="N193" s="101" t="str"/>
    </x:row>
    <x:row r="194">
      <x:c r="A194" s="100" t="n">
        <x:v>193</x:v>
      </x:c>
      <x:c r="B194" s="95" t="str">
        <x:v>RC-R06</x:v>
      </x:c>
      <x:c r="C194" s="95" t="str">
        <x:v>P4</x:v>
      </x:c>
      <x:c r="D194" s="95" t="str">
        <x:v>Rice Cookers</x:v>
      </x:c>
      <x:c r="E194" s="95" t="str">
        <x:v>Roundup</x:v>
      </x:c>
      <x:c r="F194" s="95" t="str">
        <x:v>Best Japanese Rice Cookers</x:v>
      </x:c>
      <x:c r="G194" s="95" t="str">
        <x:v>Not Started</x:v>
      </x:c>
      <x:c r="H194" s="95" t="str"/>
      <x:c r="I194" s="95" t="str"/>
      <x:c r="J194" s="95" t="str"/>
      <x:c r="K194" s="95" t="str">
        <x:v>No</x:v>
      </x:c>
      <x:c r="L194" s="95" t="str">
        <x:v>No</x:v>
      </x:c>
      <x:c r="M194" s="114" t="str"/>
      <x:c r="N194" s="101" t="str"/>
    </x:row>
    <x:row r="195">
      <x:c r="A195" s="100" t="n">
        <x:v>194</x:v>
      </x:c>
      <x:c r="B195" s="95" t="str">
        <x:v>WM-R01</x:v>
      </x:c>
      <x:c r="C195" s="95" t="str">
        <x:v>P4</x:v>
      </x:c>
      <x:c r="D195" s="95" t="str">
        <x:v>Waffle Makers</x:v>
      </x:c>
      <x:c r="E195" s="95" t="str">
        <x:v>Roundup</x:v>
      </x:c>
      <x:c r="F195" s="95" t="str">
        <x:v>Best Waffle Makers Under $50</x:v>
      </x:c>
      <x:c r="G195" s="95" t="str">
        <x:v>Not Started</x:v>
      </x:c>
      <x:c r="H195" s="95" t="str"/>
      <x:c r="I195" s="95" t="str"/>
      <x:c r="J195" s="95" t="str"/>
      <x:c r="K195" s="95" t="str">
        <x:v>No</x:v>
      </x:c>
      <x:c r="L195" s="95" t="str">
        <x:v>No</x:v>
      </x:c>
      <x:c r="M195" s="114" t="str"/>
      <x:c r="N195" s="101" t="str"/>
    </x:row>
    <x:row r="196">
      <x:c r="A196" s="100" t="n">
        <x:v>195</x:v>
      </x:c>
      <x:c r="B196" s="95" t="str">
        <x:v>WM-R02</x:v>
      </x:c>
      <x:c r="C196" s="95" t="str">
        <x:v>P4</x:v>
      </x:c>
      <x:c r="D196" s="95" t="str">
        <x:v>Waffle Makers</x:v>
      </x:c>
      <x:c r="E196" s="95" t="str">
        <x:v>Roundup</x:v>
      </x:c>
      <x:c r="F196" s="95" t="str">
        <x:v>Best Belgian Waffle Makers</x:v>
      </x:c>
      <x:c r="G196" s="95" t="str">
        <x:v>Not Started</x:v>
      </x:c>
      <x:c r="H196" s="95" t="str"/>
      <x:c r="I196" s="95" t="str"/>
      <x:c r="J196" s="95" t="str"/>
      <x:c r="K196" s="95" t="str">
        <x:v>No</x:v>
      </x:c>
      <x:c r="L196" s="95" t="str">
        <x:v>No</x:v>
      </x:c>
      <x:c r="M196" s="114" t="str"/>
      <x:c r="N196" s="101" t="str"/>
    </x:row>
    <x:row r="197">
      <x:c r="A197" s="100" t="n">
        <x:v>196</x:v>
      </x:c>
      <x:c r="B197" s="95" t="str">
        <x:v>WM-R03</x:v>
      </x:c>
      <x:c r="C197" s="95" t="str">
        <x:v>P4</x:v>
      </x:c>
      <x:c r="D197" s="95" t="str">
        <x:v>Waffle Makers</x:v>
      </x:c>
      <x:c r="E197" s="95" t="str">
        <x:v>Roundup</x:v>
      </x:c>
      <x:c r="F197" s="95" t="str">
        <x:v>Best Mini Waffle Makers</x:v>
      </x:c>
      <x:c r="G197" s="95" t="str">
        <x:v>Not Started</x:v>
      </x:c>
      <x:c r="H197" s="95" t="str"/>
      <x:c r="I197" s="95" t="str"/>
      <x:c r="J197" s="95" t="str"/>
      <x:c r="K197" s="95" t="str">
        <x:v>No</x:v>
      </x:c>
      <x:c r="L197" s="95" t="str">
        <x:v>No</x:v>
      </x:c>
      <x:c r="M197" s="114" t="str"/>
      <x:c r="N197" s="101" t="str"/>
    </x:row>
    <x:row r="198">
      <x:c r="A198" s="100" t="n">
        <x:v>197</x:v>
      </x:c>
      <x:c r="B198" s="95" t="str">
        <x:v>WM-R04</x:v>
      </x:c>
      <x:c r="C198" s="95" t="str">
        <x:v>P4</x:v>
      </x:c>
      <x:c r="D198" s="95" t="str">
        <x:v>Waffle Makers</x:v>
      </x:c>
      <x:c r="E198" s="95" t="str">
        <x:v>Roundup</x:v>
      </x:c>
      <x:c r="F198" s="95" t="str">
        <x:v>Best Flip Waffle Makers</x:v>
      </x:c>
      <x:c r="G198" s="95" t="str">
        <x:v>Not Started</x:v>
      </x:c>
      <x:c r="H198" s="95" t="str"/>
      <x:c r="I198" s="95" t="str"/>
      <x:c r="J198" s="95" t="str"/>
      <x:c r="K198" s="95" t="str">
        <x:v>No</x:v>
      </x:c>
      <x:c r="L198" s="95" t="str">
        <x:v>No</x:v>
      </x:c>
      <x:c r="M198" s="114" t="str"/>
      <x:c r="N198" s="101" t="str"/>
    </x:row>
    <x:row r="199">
      <x:c r="A199" s="100" t="n">
        <x:v>198</x:v>
      </x:c>
      <x:c r="B199" s="95" t="str">
        <x:v>CG-C02</x:v>
      </x:c>
      <x:c r="C199" s="95" t="str">
        <x:v>P4</x:v>
      </x:c>
      <x:c r="D199" s="95" t="str">
        <x:v>Coffee Grinders</x:v>
      </x:c>
      <x:c r="E199" s="95" t="str">
        <x:v>Comparison</x:v>
      </x:c>
      <x:c r="F199" s="95" t="str">
        <x:v>Manual vs Electric Coffee Grinder</x:v>
      </x:c>
      <x:c r="G199" s="95" t="str">
        <x:v>Not Started</x:v>
      </x:c>
      <x:c r="H199" s="95" t="str"/>
      <x:c r="I199" s="95" t="str"/>
      <x:c r="J199" s="95" t="str"/>
      <x:c r="K199" s="95" t="str">
        <x:v>No</x:v>
      </x:c>
      <x:c r="L199" s="95" t="str">
        <x:v>No</x:v>
      </x:c>
      <x:c r="M199" s="114" t="str"/>
      <x:c r="N199" s="101" t="str"/>
    </x:row>
    <x:row r="200">
      <x:c r="A200" s="100" t="n">
        <x:v>199</x:v>
      </x:c>
      <x:c r="B200" s="95" t="str">
        <x:v>CG-C03</x:v>
      </x:c>
      <x:c r="C200" s="95" t="str">
        <x:v>P4</x:v>
      </x:c>
      <x:c r="D200" s="95" t="str">
        <x:v>Coffee Grinders</x:v>
      </x:c>
      <x:c r="E200" s="95" t="str">
        <x:v>Comparison</x:v>
      </x:c>
      <x:c r="F200" s="95" t="str">
        <x:v>Conical vs Flat Burr Grinder</x:v>
      </x:c>
      <x:c r="G200" s="95" t="str">
        <x:v>Not Started</x:v>
      </x:c>
      <x:c r="H200" s="95" t="str"/>
      <x:c r="I200" s="95" t="str"/>
      <x:c r="J200" s="95" t="str"/>
      <x:c r="K200" s="95" t="str">
        <x:v>No</x:v>
      </x:c>
      <x:c r="L200" s="95" t="str">
        <x:v>No</x:v>
      </x:c>
      <x:c r="M200" s="114" t="str"/>
      <x:c r="N200" s="101" t="str"/>
    </x:row>
    <x:row r="201">
      <x:c r="A201" s="100" t="n">
        <x:v>200</x:v>
      </x:c>
      <x:c r="B201" s="95" t="str">
        <x:v>FP-C04</x:v>
      </x:c>
      <x:c r="C201" s="95" t="str">
        <x:v>P4</x:v>
      </x:c>
      <x:c r="D201" s="95" t="str">
        <x:v>Food Processors</x:v>
      </x:c>
      <x:c r="E201" s="95" t="str">
        <x:v>Comparison</x:v>
      </x:c>
      <x:c r="F201" s="95" t="str">
        <x:v>8-Cup vs 14-Cup Food Processor</x:v>
      </x:c>
      <x:c r="G201" s="95" t="str">
        <x:v>Not Started</x:v>
      </x:c>
      <x:c r="H201" s="95" t="str"/>
      <x:c r="I201" s="95" t="str"/>
      <x:c r="J201" s="95" t="str"/>
      <x:c r="K201" s="95" t="str">
        <x:v>No</x:v>
      </x:c>
      <x:c r="L201" s="95" t="str">
        <x:v>No</x:v>
      </x:c>
      <x:c r="M201" s="114" t="str"/>
      <x:c r="N201" s="101" t="str"/>
    </x:row>
    <x:row r="202">
      <x:c r="A202" s="100" t="n">
        <x:v>201</x:v>
      </x:c>
      <x:c r="B202" s="95" t="str">
        <x:v>MC-C02</x:v>
      </x:c>
      <x:c r="C202" s="95" t="str">
        <x:v>P4</x:v>
      </x:c>
      <x:c r="D202" s="95" t="str">
        <x:v>Mini Choppers</x:v>
      </x:c>
      <x:c r="E202" s="95" t="str">
        <x:v>Comparison</x:v>
      </x:c>
      <x:c r="F202" s="95" t="str">
        <x:v>Manual vs Electric Food Chopper</x:v>
      </x:c>
      <x:c r="G202" s="95" t="str">
        <x:v>Not Started</x:v>
      </x:c>
      <x:c r="H202" s="95" t="str"/>
      <x:c r="I202" s="95" t="str"/>
      <x:c r="J202" s="95" t="str"/>
      <x:c r="K202" s="95" t="str">
        <x:v>No</x:v>
      </x:c>
      <x:c r="L202" s="95" t="str">
        <x:v>No</x:v>
      </x:c>
      <x:c r="M202" s="114" t="str"/>
      <x:c r="N202" s="101" t="str"/>
    </x:row>
    <x:row r="203">
      <x:c r="A203" s="100" t="n">
        <x:v>202</x:v>
      </x:c>
      <x:c r="B203" s="95" t="str">
        <x:v>RC-C02</x:v>
      </x:c>
      <x:c r="C203" s="95" t="str">
        <x:v>P4</x:v>
      </x:c>
      <x:c r="D203" s="95" t="str">
        <x:v>Rice Cookers</x:v>
      </x:c>
      <x:c r="E203" s="95" t="str">
        <x:v>Comparison</x:v>
      </x:c>
      <x:c r="F203" s="95" t="str">
        <x:v>Micom vs Basic Rice Cooker</x:v>
      </x:c>
      <x:c r="G203" s="95" t="str">
        <x:v>Not Started</x:v>
      </x:c>
      <x:c r="H203" s="95" t="str"/>
      <x:c r="I203" s="95" t="str"/>
      <x:c r="J203" s="95" t="str"/>
      <x:c r="K203" s="95" t="str">
        <x:v>No</x:v>
      </x:c>
      <x:c r="L203" s="95" t="str">
        <x:v>No</x:v>
      </x:c>
      <x:c r="M203" s="114" t="str"/>
      <x:c r="N203" s="101" t="str"/>
    </x:row>
    <x:row r="204">
      <x:c r="A204" s="100" t="n">
        <x:v>203</x:v>
      </x:c>
      <x:c r="B204" s="95" t="str">
        <x:v>RC-C03</x:v>
      </x:c>
      <x:c r="C204" s="95" t="str">
        <x:v>P4</x:v>
      </x:c>
      <x:c r="D204" s="95" t="str">
        <x:v>Rice Cookers</x:v>
      </x:c>
      <x:c r="E204" s="95" t="str">
        <x:v>Comparison</x:v>
      </x:c>
      <x:c r="F204" s="95" t="str">
        <x:v>3-Cup vs 5-Cup Rice Cooker</x:v>
      </x:c>
      <x:c r="G204" s="95" t="str">
        <x:v>Not Started</x:v>
      </x:c>
      <x:c r="H204" s="95" t="str"/>
      <x:c r="I204" s="95" t="str"/>
      <x:c r="J204" s="95" t="str"/>
      <x:c r="K204" s="95" t="str">
        <x:v>No</x:v>
      </x:c>
      <x:c r="L204" s="95" t="str">
        <x:v>No</x:v>
      </x:c>
      <x:c r="M204" s="114" t="str"/>
      <x:c r="N204" s="101" t="str"/>
    </x:row>
    <x:row r="205">
      <x:c r="A205" s="100" t="n">
        <x:v>204</x:v>
      </x:c>
      <x:c r="B205" s="95" t="str">
        <x:v>WM-C01</x:v>
      </x:c>
      <x:c r="C205" s="95" t="str">
        <x:v>P4</x:v>
      </x:c>
      <x:c r="D205" s="95" t="str">
        <x:v>Waffle Makers</x:v>
      </x:c>
      <x:c r="E205" s="95" t="str">
        <x:v>Comparison</x:v>
      </x:c>
      <x:c r="F205" s="95" t="str">
        <x:v>Belgian vs Classic Waffle Maker</x:v>
      </x:c>
      <x:c r="G205" s="95" t="str">
        <x:v>Not Started</x:v>
      </x:c>
      <x:c r="H205" s="95" t="str"/>
      <x:c r="I205" s="95" t="str"/>
      <x:c r="J205" s="95" t="str"/>
      <x:c r="K205" s="95" t="str">
        <x:v>No</x:v>
      </x:c>
      <x:c r="L205" s="95" t="str">
        <x:v>No</x:v>
      </x:c>
      <x:c r="M205" s="114" t="str"/>
      <x:c r="N205" s="101" t="str"/>
    </x:row>
    <x:row r="206">
      <x:c r="A206" s="100" t="n">
        <x:v>205</x:v>
      </x:c>
      <x:c r="B206" s="95" t="str">
        <x:v>WM-C02</x:v>
      </x:c>
      <x:c r="C206" s="95" t="str">
        <x:v>P4</x:v>
      </x:c>
      <x:c r="D206" s="95" t="str">
        <x:v>Waffle Makers</x:v>
      </x:c>
      <x:c r="E206" s="95" t="str">
        <x:v>Comparison</x:v>
      </x:c>
      <x:c r="F206" s="95" t="str">
        <x:v>Flip vs Standard Waffle Maker</x:v>
      </x:c>
      <x:c r="G206" s="95" t="str">
        <x:v>Not Started</x:v>
      </x:c>
      <x:c r="H206" s="95" t="str"/>
      <x:c r="I206" s="95" t="str"/>
      <x:c r="J206" s="95" t="str"/>
      <x:c r="K206" s="95" t="str">
        <x:v>No</x:v>
      </x:c>
      <x:c r="L206" s="95" t="str">
        <x:v>No</x:v>
      </x:c>
      <x:c r="M206" s="114" t="str"/>
      <x:c r="N206" s="101" t="str"/>
    </x:row>
    <x:row r="207">
      <x:c r="A207" s="100" t="n">
        <x:v>206</x:v>
      </x:c>
      <x:c r="B207" s="95" t="str">
        <x:v>CG-V01</x:v>
      </x:c>
      <x:c r="C207" s="95" t="str">
        <x:v>P4</x:v>
      </x:c>
      <x:c r="D207" s="95" t="str">
        <x:v>Coffee Grinders</x:v>
      </x:c>
      <x:c r="E207" s="95" t="str">
        <x:v>Single Review</x:v>
      </x:c>
      <x:c r="F207" s="95" t="str">
        <x:v>Baratza Encore ESP Review</x:v>
      </x:c>
      <x:c r="G207" s="95" t="str">
        <x:v>Not Started</x:v>
      </x:c>
      <x:c r="H207" s="95" t="str"/>
      <x:c r="I207" s="95" t="str"/>
      <x:c r="J207" s="95" t="str"/>
      <x:c r="K207" s="95" t="str">
        <x:v>No</x:v>
      </x:c>
      <x:c r="L207" s="95" t="str">
        <x:v>No</x:v>
      </x:c>
      <x:c r="M207" s="114" t="str"/>
      <x:c r="N207" s="101" t="str"/>
    </x:row>
    <x:row r="208">
      <x:c r="A208" s="100" t="n">
        <x:v>207</x:v>
      </x:c>
      <x:c r="B208" s="95" t="str">
        <x:v>CG-V02</x:v>
      </x:c>
      <x:c r="C208" s="95" t="str">
        <x:v>P4</x:v>
      </x:c>
      <x:c r="D208" s="95" t="str">
        <x:v>Coffee Grinders</x:v>
      </x:c>
      <x:c r="E208" s="95" t="str">
        <x:v>Single Review</x:v>
      </x:c>
      <x:c r="F208" s="95" t="str">
        <x:v>OXO Brew Conical Burr Grinder Review</x:v>
      </x:c>
      <x:c r="G208" s="95" t="str">
        <x:v>Not Started</x:v>
      </x:c>
      <x:c r="H208" s="95" t="str"/>
      <x:c r="I208" s="95" t="str"/>
      <x:c r="J208" s="95" t="str"/>
      <x:c r="K208" s="95" t="str">
        <x:v>No</x:v>
      </x:c>
      <x:c r="L208" s="95" t="str">
        <x:v>No</x:v>
      </x:c>
      <x:c r="M208" s="114" t="str"/>
      <x:c r="N208" s="101" t="str"/>
    </x:row>
    <x:row r="209">
      <x:c r="A209" s="100" t="n">
        <x:v>208</x:v>
      </x:c>
      <x:c r="B209" s="95" t="str">
        <x:v>CG-V03</x:v>
      </x:c>
      <x:c r="C209" s="95" t="str">
        <x:v>P4</x:v>
      </x:c>
      <x:c r="D209" s="95" t="str">
        <x:v>Coffee Grinders</x:v>
      </x:c>
      <x:c r="E209" s="95" t="str">
        <x:v>Single Review</x:v>
      </x:c>
      <x:c r="F209" s="95" t="str">
        <x:v>Fellow Ode Gen 2 Review</x:v>
      </x:c>
      <x:c r="G209" s="95" t="str">
        <x:v>Not Started</x:v>
      </x:c>
      <x:c r="H209" s="95" t="str"/>
      <x:c r="I209" s="95" t="str"/>
      <x:c r="J209" s="95" t="str"/>
      <x:c r="K209" s="95" t="str">
        <x:v>No</x:v>
      </x:c>
      <x:c r="L209" s="95" t="str">
        <x:v>No</x:v>
      </x:c>
      <x:c r="M209" s="114" t="str"/>
      <x:c r="N209" s="101" t="str"/>
    </x:row>
    <x:row r="210">
      <x:c r="A210" s="100" t="n">
        <x:v>209</x:v>
      </x:c>
      <x:c r="B210" s="95" t="str">
        <x:v>FP-V02</x:v>
      </x:c>
      <x:c r="C210" s="95" t="str">
        <x:v>P4</x:v>
      </x:c>
      <x:c r="D210" s="95" t="str">
        <x:v>Food Processors</x:v>
      </x:c>
      <x:c r="E210" s="95" t="str">
        <x:v>Single Review</x:v>
      </x:c>
      <x:c r="F210" s="95" t="str">
        <x:v>KitchenAid 9-Cup Food Processor Review</x:v>
      </x:c>
      <x:c r="G210" s="95" t="str">
        <x:v>Not Started</x:v>
      </x:c>
      <x:c r="H210" s="95" t="str"/>
      <x:c r="I210" s="95" t="str"/>
      <x:c r="J210" s="95" t="str"/>
      <x:c r="K210" s="95" t="str">
        <x:v>No</x:v>
      </x:c>
      <x:c r="L210" s="95" t="str">
        <x:v>No</x:v>
      </x:c>
      <x:c r="M210" s="114" t="str"/>
      <x:c r="N210" s="101" t="str"/>
    </x:row>
    <x:row r="211">
      <x:c r="A211" s="100" t="n">
        <x:v>210</x:v>
      </x:c>
      <x:c r="B211" s="95" t="str">
        <x:v>FP-V03</x:v>
      </x:c>
      <x:c r="C211" s="95" t="str">
        <x:v>P4</x:v>
      </x:c>
      <x:c r="D211" s="95" t="str">
        <x:v>Food Processors</x:v>
      </x:c>
      <x:c r="E211" s="95" t="str">
        <x:v>Single Review</x:v>
      </x:c>
      <x:c r="F211" s="95" t="str">
        <x:v>Ninja Professional Food Processor Review</x:v>
      </x:c>
      <x:c r="G211" s="95" t="str">
        <x:v>Not Started</x:v>
      </x:c>
      <x:c r="H211" s="95" t="str"/>
      <x:c r="I211" s="95" t="str"/>
      <x:c r="J211" s="95" t="str"/>
      <x:c r="K211" s="95" t="str">
        <x:v>No</x:v>
      </x:c>
      <x:c r="L211" s="95" t="str">
        <x:v>No</x:v>
      </x:c>
      <x:c r="M211" s="114" t="str"/>
      <x:c r="N211" s="101" t="str"/>
    </x:row>
    <x:row r="212">
      <x:c r="A212" s="100" t="n">
        <x:v>211</x:v>
      </x:c>
      <x:c r="B212" s="95" t="str">
        <x:v>MC-V01</x:v>
      </x:c>
      <x:c r="C212" s="95" t="str">
        <x:v>P4</x:v>
      </x:c>
      <x:c r="D212" s="95" t="str">
        <x:v>Mini Choppers</x:v>
      </x:c>
      <x:c r="E212" s="95" t="str">
        <x:v>Single Review</x:v>
      </x:c>
      <x:c r="F212" s="95" t="str">
        <x:v>KitchenAid 3.5-Cup Food Chopper Review</x:v>
      </x:c>
      <x:c r="G212" s="95" t="str">
        <x:v>Not Started</x:v>
      </x:c>
      <x:c r="H212" s="95" t="str"/>
      <x:c r="I212" s="95" t="str"/>
      <x:c r="J212" s="95" t="str"/>
      <x:c r="K212" s="95" t="str">
        <x:v>No</x:v>
      </x:c>
      <x:c r="L212" s="95" t="str">
        <x:v>No</x:v>
      </x:c>
      <x:c r="M212" s="114" t="str"/>
      <x:c r="N212" s="101" t="str"/>
    </x:row>
    <x:row r="213">
      <x:c r="A213" s="100" t="n">
        <x:v>212</x:v>
      </x:c>
      <x:c r="B213" s="95" t="str">
        <x:v>MC-V02</x:v>
      </x:c>
      <x:c r="C213" s="95" t="str">
        <x:v>P4</x:v>
      </x:c>
      <x:c r="D213" s="95" t="str">
        <x:v>Mini Choppers</x:v>
      </x:c>
      <x:c r="E213" s="95" t="str">
        <x:v>Single Review</x:v>
      </x:c>
      <x:c r="F213" s="95" t="str">
        <x:v>Cuisinart Mini-Prep Review</x:v>
      </x:c>
      <x:c r="G213" s="95" t="str">
        <x:v>Not Started</x:v>
      </x:c>
      <x:c r="H213" s="95" t="str"/>
      <x:c r="I213" s="95" t="str"/>
      <x:c r="J213" s="95" t="str"/>
      <x:c r="K213" s="95" t="str">
        <x:v>No</x:v>
      </x:c>
      <x:c r="L213" s="95" t="str">
        <x:v>No</x:v>
      </x:c>
      <x:c r="M213" s="114" t="str"/>
      <x:c r="N213" s="101" t="str"/>
    </x:row>
    <x:row r="214">
      <x:c r="A214" s="100" t="n">
        <x:v>213</x:v>
      </x:c>
      <x:c r="B214" s="95" t="str">
        <x:v>RC-V01</x:v>
      </x:c>
      <x:c r="C214" s="95" t="str">
        <x:v>P4</x:v>
      </x:c>
      <x:c r="D214" s="95" t="str">
        <x:v>Rice Cookers</x:v>
      </x:c>
      <x:c r="E214" s="95" t="str">
        <x:v>Single Review</x:v>
      </x:c>
      <x:c r="F214" s="95" t="str">
        <x:v>Zojirushi Neuro Fuzzy Rice Cooker Review</x:v>
      </x:c>
      <x:c r="G214" s="95" t="str">
        <x:v>Not Started</x:v>
      </x:c>
      <x:c r="H214" s="95" t="str"/>
      <x:c r="I214" s="95" t="str"/>
      <x:c r="J214" s="95" t="str"/>
      <x:c r="K214" s="95" t="str">
        <x:v>No</x:v>
      </x:c>
      <x:c r="L214" s="95" t="str">
        <x:v>No</x:v>
      </x:c>
      <x:c r="M214" s="114" t="str"/>
      <x:c r="N214" s="101" t="str"/>
    </x:row>
    <x:row r="215">
      <x:c r="A215" s="100" t="n">
        <x:v>214</x:v>
      </x:c>
      <x:c r="B215" s="95" t="str">
        <x:v>RC-V02</x:v>
      </x:c>
      <x:c r="C215" s="95" t="str">
        <x:v>P4</x:v>
      </x:c>
      <x:c r="D215" s="95" t="str">
        <x:v>Rice Cookers</x:v>
      </x:c>
      <x:c r="E215" s="95" t="str">
        <x:v>Single Review</x:v>
      </x:c>
      <x:c r="F215" s="95" t="str">
        <x:v>Aroma Rice Cooker Review</x:v>
      </x:c>
      <x:c r="G215" s="95" t="str">
        <x:v>Not Started</x:v>
      </x:c>
      <x:c r="H215" s="95" t="str"/>
      <x:c r="I215" s="95" t="str"/>
      <x:c r="J215" s="95" t="str"/>
      <x:c r="K215" s="95" t="str">
        <x:v>No</x:v>
      </x:c>
      <x:c r="L215" s="95" t="str">
        <x:v>No</x:v>
      </x:c>
      <x:c r="M215" s="114" t="str"/>
      <x:c r="N215" s="101" t="str"/>
    </x:row>
    <x:row r="216">
      <x:c r="A216" s="100" t="n">
        <x:v>215</x:v>
      </x:c>
      <x:c r="B216" s="95" t="str">
        <x:v>WM-V01</x:v>
      </x:c>
      <x:c r="C216" s="95" t="str">
        <x:v>P4</x:v>
      </x:c>
      <x:c r="D216" s="95" t="str">
        <x:v>Waffle Makers</x:v>
      </x:c>
      <x:c r="E216" s="95" t="str">
        <x:v>Single Review</x:v>
      </x:c>
      <x:c r="F216" s="95" t="str">
        <x:v>Cuisinart Double Belgian Waffle Maker Review</x:v>
      </x:c>
      <x:c r="G216" s="95" t="str">
        <x:v>Not Started</x:v>
      </x:c>
      <x:c r="H216" s="95" t="str"/>
      <x:c r="I216" s="95" t="str"/>
      <x:c r="J216" s="95" t="str"/>
      <x:c r="K216" s="95" t="str">
        <x:v>No</x:v>
      </x:c>
      <x:c r="L216" s="95" t="str">
        <x:v>No</x:v>
      </x:c>
      <x:c r="M216" s="114" t="str"/>
      <x:c r="N216" s="101" t="str"/>
    </x:row>
    <x:row r="217">
      <x:c r="A217" s="100" t="n">
        <x:v>216</x:v>
      </x:c>
      <x:c r="B217" s="95" t="str">
        <x:v>WM-V02</x:v>
      </x:c>
      <x:c r="C217" s="95" t="str">
        <x:v>P4</x:v>
      </x:c>
      <x:c r="D217" s="95" t="str">
        <x:v>Waffle Makers</x:v>
      </x:c>
      <x:c r="E217" s="95" t="str">
        <x:v>Single Review</x:v>
      </x:c>
      <x:c r="F217" s="95" t="str">
        <x:v>Dash Mini Waffle Maker Review</x:v>
      </x:c>
      <x:c r="G217" s="95" t="str">
        <x:v>Not Started</x:v>
      </x:c>
      <x:c r="H217" s="95" t="str"/>
      <x:c r="I217" s="95" t="str"/>
      <x:c r="J217" s="95" t="str"/>
      <x:c r="K217" s="95" t="str">
        <x:v>No</x:v>
      </x:c>
      <x:c r="L217" s="95" t="str">
        <x:v>No</x:v>
      </x:c>
      <x:c r="M217" s="114" t="str"/>
      <x:c r="N217" s="101" t="str"/>
    </x:row>
    <x:row r="218">
      <x:c r="A218" s="100" t="n">
        <x:v>217</x:v>
      </x:c>
      <x:c r="B218" s="95" t="str">
        <x:v>WM-G01</x:v>
      </x:c>
      <x:c r="C218" s="95" t="str">
        <x:v>P4</x:v>
      </x:c>
      <x:c r="D218" s="95" t="str">
        <x:v>Waffle Makers</x:v>
      </x:c>
      <x:c r="E218" s="95" t="str">
        <x:v>Buying Guide</x:v>
      </x:c>
      <x:c r="F218" s="95" t="str">
        <x:v>Waffle Maker Buying Guide</x:v>
      </x:c>
      <x:c r="G218" s="95" t="str">
        <x:v>Not Started</x:v>
      </x:c>
      <x:c r="H218" s="95" t="str"/>
      <x:c r="I218" s="95" t="str"/>
      <x:c r="J218" s="95" t="str"/>
      <x:c r="K218" s="95" t="str">
        <x:v>No</x:v>
      </x:c>
      <x:c r="L218" s="95" t="str">
        <x:v>No</x:v>
      </x:c>
      <x:c r="M218" s="114" t="str"/>
      <x:c r="N218" s="101" t="str"/>
    </x:row>
    <x:row r="219">
      <x:c r="A219" s="100" t="n">
        <x:v>218</x:v>
      </x:c>
      <x:c r="B219" s="95" t="str">
        <x:v>CG-G04</x:v>
      </x:c>
      <x:c r="C219" s="95" t="str">
        <x:v>P4</x:v>
      </x:c>
      <x:c r="D219" s="95" t="str">
        <x:v>Coffee Grinders</x:v>
      </x:c>
      <x:c r="E219" s="95" t="str">
        <x:v>Informational</x:v>
      </x:c>
      <x:c r="F219" s="95" t="str">
        <x:v>How Long Do Coffee Grinders Last?</x:v>
      </x:c>
      <x:c r="G219" s="95" t="str">
        <x:v>Not Started</x:v>
      </x:c>
      <x:c r="H219" s="95" t="str"/>
      <x:c r="I219" s="95" t="str"/>
      <x:c r="J219" s="95" t="str"/>
      <x:c r="K219" s="95" t="str">
        <x:v>No</x:v>
      </x:c>
      <x:c r="L219" s="95" t="str">
        <x:v>No</x:v>
      </x:c>
      <x:c r="M219" s="114" t="str"/>
      <x:c r="N219" s="101" t="str"/>
    </x:row>
    <x:row r="220">
      <x:c r="A220" s="100" t="n">
        <x:v>219</x:v>
      </x:c>
      <x:c r="B220" s="95" t="str">
        <x:v>FP-G06</x:v>
      </x:c>
      <x:c r="C220" s="95" t="str">
        <x:v>P4</x:v>
      </x:c>
      <x:c r="D220" s="95" t="str">
        <x:v>Food Processors</x:v>
      </x:c>
      <x:c r="E220" s="95" t="str">
        <x:v>Informational</x:v>
      </x:c>
      <x:c r="F220" s="95" t="str">
        <x:v>How Long Do Food Processors Last?</x:v>
      </x:c>
      <x:c r="G220" s="95" t="str">
        <x:v>Not Started</x:v>
      </x:c>
      <x:c r="H220" s="95" t="str"/>
      <x:c r="I220" s="95" t="str"/>
      <x:c r="J220" s="95" t="str"/>
      <x:c r="K220" s="95" t="str">
        <x:v>No</x:v>
      </x:c>
      <x:c r="L220" s="95" t="str">
        <x:v>No</x:v>
      </x:c>
      <x:c r="M220" s="114" t="str"/>
      <x:c r="N220" s="101" t="str"/>
    </x:row>
    <x:row r="221">
      <x:c r="A221" s="100" t="n">
        <x:v>220</x:v>
      </x:c>
      <x:c r="B221" s="95" t="str">
        <x:v>MC-G02</x:v>
      </x:c>
      <x:c r="C221" s="95" t="str">
        <x:v>P4</x:v>
      </x:c>
      <x:c r="D221" s="95" t="str">
        <x:v>Mini Choppers</x:v>
      </x:c>
      <x:c r="E221" s="95" t="str">
        <x:v>Informational</x:v>
      </x:c>
      <x:c r="F221" s="95" t="str">
        <x:v>What Can You Make in a Mini Chopper?</x:v>
      </x:c>
      <x:c r="G221" s="95" t="str">
        <x:v>Not Started</x:v>
      </x:c>
      <x:c r="H221" s="95" t="str"/>
      <x:c r="I221" s="95" t="str"/>
      <x:c r="J221" s="95" t="str"/>
      <x:c r="K221" s="95" t="str">
        <x:v>No</x:v>
      </x:c>
      <x:c r="L221" s="95" t="str">
        <x:v>No</x:v>
      </x:c>
      <x:c r="M221" s="114" t="str"/>
      <x:c r="N221" s="101" t="str"/>
    </x:row>
    <x:row r="222">
      <x:c r="A222" s="100" t="n">
        <x:v>221</x:v>
      </x:c>
      <x:c r="B222" s="95" t="str">
        <x:v>RC-G04</x:v>
      </x:c>
      <x:c r="C222" s="95" t="str">
        <x:v>P4</x:v>
      </x:c>
      <x:c r="D222" s="95" t="str">
        <x:v>Rice Cookers</x:v>
      </x:c>
      <x:c r="E222" s="95" t="str">
        <x:v>Informational</x:v>
      </x:c>
      <x:c r="F222" s="95" t="str">
        <x:v>How Long Do Rice Cookers Last?</x:v>
      </x:c>
      <x:c r="G222" s="95" t="str">
        <x:v>Not Started</x:v>
      </x:c>
      <x:c r="H222" s="95" t="str"/>
      <x:c r="I222" s="95" t="str"/>
      <x:c r="J222" s="95" t="str"/>
      <x:c r="K222" s="95" t="str">
        <x:v>No</x:v>
      </x:c>
      <x:c r="L222" s="95" t="str">
        <x:v>No</x:v>
      </x:c>
      <x:c r="M222" s="114" t="str"/>
      <x:c r="N222" s="101" t="str"/>
    </x:row>
    <x:row r="223">
      <x:c r="A223" s="100" t="n">
        <x:v>222</x:v>
      </x:c>
      <x:c r="B223" s="95" t="str">
        <x:v>TO-G06</x:v>
      </x:c>
      <x:c r="C223" s="95" t="str">
        <x:v>P4</x:v>
      </x:c>
      <x:c r="D223" s="95" t="str">
        <x:v>Toaster Ovens</x:v>
      </x:c>
      <x:c r="E223" s="95" t="str">
        <x:v>Informational</x:v>
      </x:c>
      <x:c r="F223" s="95" t="str">
        <x:v>How Long Do Toaster Ovens Last?</x:v>
      </x:c>
      <x:c r="G223" s="95" t="str">
        <x:v>Not Started</x:v>
      </x:c>
      <x:c r="H223" s="95" t="str"/>
      <x:c r="I223" s="95" t="str"/>
      <x:c r="J223" s="95" t="str"/>
      <x:c r="K223" s="95" t="str">
        <x:v>No</x:v>
      </x:c>
      <x:c r="L223" s="95" t="str">
        <x:v>No</x:v>
      </x:c>
      <x:c r="M223" s="114" t="str"/>
      <x:c r="N223" s="101" t="str"/>
    </x:row>
    <x:row r="224">
      <x:c r="A224" s="100" t="n">
        <x:v>223</x:v>
      </x:c>
      <x:c r="B224" s="95" t="str">
        <x:v>WM-G03</x:v>
      </x:c>
      <x:c r="C224" s="95" t="str">
        <x:v>P4</x:v>
      </x:c>
      <x:c r="D224" s="95" t="str">
        <x:v>Waffle Makers</x:v>
      </x:c>
      <x:c r="E224" s="95" t="str">
        <x:v>Informational</x:v>
      </x:c>
      <x:c r="F224" s="95" t="str">
        <x:v>How Long Do Waffle Makers Last?</x:v>
      </x:c>
      <x:c r="G224" s="95" t="str">
        <x:v>Not Started</x:v>
      </x:c>
      <x:c r="H224" s="95" t="str"/>
      <x:c r="I224" s="95" t="str"/>
      <x:c r="J224" s="95" t="str"/>
      <x:c r="K224" s="95" t="str">
        <x:v>No</x:v>
      </x:c>
      <x:c r="L224" s="95" t="str">
        <x:v>No</x:v>
      </x:c>
      <x:c r="M224" s="114" t="str"/>
      <x:c r="N224" s="101" t="str"/>
    </x:row>
    <x:row r="225">
      <x:c r="A225" s="100" t="n">
        <x:v>224</x:v>
      </x:c>
      <x:c r="B225" s="95" t="str">
        <x:v>CG-G03</x:v>
      </x:c>
      <x:c r="C225" s="95" t="str">
        <x:v>P4</x:v>
      </x:c>
      <x:c r="D225" s="95" t="str">
        <x:v>Coffee Grinders</x:v>
      </x:c>
      <x:c r="E225" s="95" t="str">
        <x:v>How-To</x:v>
      </x:c>
      <x:c r="F225" s="95" t="str">
        <x:v>How to Clean a Burr Grinder</x:v>
      </x:c>
      <x:c r="G225" s="95" t="str">
        <x:v>Not Started</x:v>
      </x:c>
      <x:c r="H225" s="95" t="str"/>
      <x:c r="I225" s="95" t="str"/>
      <x:c r="J225" s="95" t="str"/>
      <x:c r="K225" s="95" t="str">
        <x:v>No</x:v>
      </x:c>
      <x:c r="L225" s="95" t="str">
        <x:v>No</x:v>
      </x:c>
      <x:c r="M225" s="114" t="str"/>
      <x:c r="N225" s="101" t="str"/>
    </x:row>
    <x:row r="226">
      <x:c r="A226" s="100" t="n">
        <x:v>225</x:v>
      </x:c>
      <x:c r="B226" s="95" t="str">
        <x:v>FP-G04</x:v>
      </x:c>
      <x:c r="C226" s="95" t="str">
        <x:v>P4</x:v>
      </x:c>
      <x:c r="D226" s="95" t="str">
        <x:v>Food Processors</x:v>
      </x:c>
      <x:c r="E226" s="95" t="str">
        <x:v>How-To</x:v>
      </x:c>
      <x:c r="F226" s="95" t="str">
        <x:v>How to Clean a Food Processor</x:v>
      </x:c>
      <x:c r="G226" s="95" t="str">
        <x:v>Not Started</x:v>
      </x:c>
      <x:c r="H226" s="95" t="str"/>
      <x:c r="I226" s="95" t="str"/>
      <x:c r="J226" s="95" t="str"/>
      <x:c r="K226" s="95" t="str">
        <x:v>No</x:v>
      </x:c>
      <x:c r="L226" s="95" t="str">
        <x:v>No</x:v>
      </x:c>
      <x:c r="M226" s="114" t="str"/>
      <x:c r="N226" s="101" t="str"/>
    </x:row>
    <x:row r="227">
      <x:c r="A227" s="100" t="n">
        <x:v>226</x:v>
      </x:c>
      <x:c r="B227" s="95" t="str">
        <x:v>MC-G03</x:v>
      </x:c>
      <x:c r="C227" s="95" t="str">
        <x:v>P4</x:v>
      </x:c>
      <x:c r="D227" s="95" t="str">
        <x:v>Mini Choppers</x:v>
      </x:c>
      <x:c r="E227" s="95" t="str">
        <x:v>How-To</x:v>
      </x:c>
      <x:c r="F227" s="95" t="str">
        <x:v>How to Clean a Mini Chopper</x:v>
      </x:c>
      <x:c r="G227" s="95" t="str">
        <x:v>Not Started</x:v>
      </x:c>
      <x:c r="H227" s="95" t="str"/>
      <x:c r="I227" s="95" t="str"/>
      <x:c r="J227" s="95" t="str"/>
      <x:c r="K227" s="95" t="str">
        <x:v>No</x:v>
      </x:c>
      <x:c r="L227" s="95" t="str">
        <x:v>No</x:v>
      </x:c>
      <x:c r="M227" s="114" t="str"/>
      <x:c r="N227" s="101" t="str"/>
    </x:row>
    <x:row r="228">
      <x:c r="A228" s="100" t="n">
        <x:v>227</x:v>
      </x:c>
      <x:c r="B228" s="95" t="str">
        <x:v>RC-G03</x:v>
      </x:c>
      <x:c r="C228" s="95" t="str">
        <x:v>P4</x:v>
      </x:c>
      <x:c r="D228" s="95" t="str">
        <x:v>Rice Cookers</x:v>
      </x:c>
      <x:c r="E228" s="95" t="str">
        <x:v>How-To</x:v>
      </x:c>
      <x:c r="F228" s="95" t="str">
        <x:v>How to Clean a Rice Cooker</x:v>
      </x:c>
      <x:c r="G228" s="95" t="str">
        <x:v>Not Started</x:v>
      </x:c>
      <x:c r="H228" s="95" t="str"/>
      <x:c r="I228" s="95" t="str"/>
      <x:c r="J228" s="95" t="str"/>
      <x:c r="K228" s="95" t="str">
        <x:v>No</x:v>
      </x:c>
      <x:c r="L228" s="95" t="str">
        <x:v>No</x:v>
      </x:c>
      <x:c r="M228" s="114" t="str"/>
      <x:c r="N228" s="101" t="str"/>
    </x:row>
    <x:row r="229">
      <x:c r="A229" s="102" t="n">
        <x:v>228</x:v>
      </x:c>
      <x:c r="B229" s="103" t="str">
        <x:v>WM-G02</x:v>
      </x:c>
      <x:c r="C229" s="103" t="str">
        <x:v>P4</x:v>
      </x:c>
      <x:c r="D229" s="103" t="str">
        <x:v>Waffle Makers</x:v>
      </x:c>
      <x:c r="E229" s="103" t="str">
        <x:v>How-To</x:v>
      </x:c>
      <x:c r="F229" s="103" t="str">
        <x:v>How to Clean a Waffle Maker</x:v>
      </x:c>
      <x:c r="G229" s="103" t="str">
        <x:v>Not Started</x:v>
      </x:c>
      <x:c r="H229" s="103" t="str"/>
      <x:c r="I229" s="103" t="str"/>
      <x:c r="J229" s="103" t="str"/>
      <x:c r="K229" s="103" t="str">
        <x:v>No</x:v>
      </x:c>
      <x:c r="L229" s="103" t="str">
        <x:v>No</x:v>
      </x:c>
      <x:c r="M229" s="115" t="str"/>
      <x:c r="N229" s="104" t="str"/>
    </x:row>
  </x:sheetData>
  <x:conditionalFormatting sqref="G2:G229">
    <x:cfRule type="expression" dxfId="32" priority="1">
      <x:formula>$G2="Published"</x:formula>
    </x:cfRule>
    <x:cfRule type="expression" dxfId="33" priority="2">
      <x:formula>$G2="Writing"</x:formula>
    </x:cfRule>
    <x:cfRule type="expression" dxfId="34" priority="3">
      <x:formula>$G2="Editing"</x:formula>
    </x:cfRule>
    <x:cfRule type="expression" dxfId="35" priority="4">
      <x:formula>$G2="Blocked"</x:formula>
    </x:cfRule>
  </x:conditionalFormatting>
  <x:dataValidations count="4">
    <x:dataValidation type="list" sqref="C2:C229">
      <x:formula1>"P0,P1,P2,P3,P4"</x:formula1>
    </x:dataValidation>
    <x:dataValidation type="list" sqref="G2:G229">
      <x:formula1>"Not Started,Brief Ready,Writing,Editing,Published,Refreshing,Blocked"</x:formula1>
    </x:dataValidation>
    <x:dataValidation type="list" sqref="K2:K229">
      <x:formula1>"No,Requested,Yes,Excluded"</x:formula1>
    </x:dataValidation>
    <x:dataValidation type="list" sqref="L2:L229">
      <x:formula1>"No,Yes,Not Applicable"</x:formula1>
    </x:dataValidation>
  </x:dataValidations>
  <x:pageMargins left="0.7" right="0.7" top="0.75" bottom="0.75" header="0.3" footer="0.3"/>
  <x:tableParts count="1">
    <x:tablePart xmlns:r="http://schemas.openxmlformats.org/officeDocument/2006/relationships" r:id="R0781e09c8c2947e4"/>
  </x:tableParts>
</x:worksheet>
</file>

<file path=xl/worksheets/sheet18.xml><?xml version="1.0" encoding="utf-8"?>
<x:worksheet xmlns:x="http://schemas.openxmlformats.org/spreadsheetml/2006/main">
  <x:sheetFormatPr defaultRowHeight="15"/>
  <x:cols>
    <x:col min="1" max="1" width="18" hidden="0" customWidth="1"/>
    <x:col min="2" max="2" width="16" hidden="0" customWidth="1"/>
    <x:col min="3" max="3" width="14" hidden="0" customWidth="1"/>
    <x:col min="4" max="4" width="20" hidden="0" customWidth="1"/>
    <x:col min="5" max="5" width="16" hidden="0" customWidth="1"/>
    <x:col min="6" max="6" width="16" hidden="0" customWidth="1"/>
    <x:col min="7" max="7" width="15" hidden="0" customWidth="1"/>
    <x:col min="8" max="8" width="17" hidden="0" customWidth="1"/>
    <x:col min="9" max="9" width="16" hidden="0" customWidth="1"/>
    <x:col min="10" max="10" width="14" hidden="0" customWidth="1"/>
    <x:col min="11" max="11" width="42" hidden="0" customWidth="1"/>
    <x:col min="12" max="12" width="38" hidden="0" customWidth="1"/>
    <x:col min="13" max="13" width="58" hidden="0" customWidth="1"/>
  </x:cols>
  <x:sheetData>
    <x:row r="1" ht="36" customHeight="1">
      <x:c r="A1" s="81" t="str">
        <x:v>Reporting Period</x:v>
      </x:c>
      <x:c r="B1" s="81" t="str">
        <x:v>Published Pages</x:v>
      </x:c>
      <x:c r="C1" s="81" t="str">
        <x:v>Indexed Pages</x:v>
      </x:c>
      <x:c r="D1" s="81" t="str">
        <x:v>Organic Impressions</x:v>
      </x:c>
      <x:c r="E1" s="81" t="str">
        <x:v>Organic Clicks</x:v>
      </x:c>
      <x:c r="F1" s="81" t="str">
        <x:v>Amazon Clicks</x:v>
      </x:c>
      <x:c r="G1" s="81" t="str">
        <x:v>Ordered Items</x:v>
      </x:c>
      <x:c r="H1" s="81" t="str">
        <x:v>Conversion Rate</x:v>
      </x:c>
      <x:c r="I1" s="81" t="str">
        <x:v>Revenue USD</x:v>
      </x:c>
      <x:c r="J1" s="81" t="str">
        <x:v>EPC USD</x:v>
      </x:c>
      <x:c r="K1" s="81" t="str">
        <x:v>Top Page</x:v>
      </x:c>
      <x:c r="L1" s="81" t="str">
        <x:v>Top Query</x:v>
      </x:c>
      <x:c r="M1" s="81" t="str">
        <x:v>Actions</x:v>
      </x:c>
    </x:row>
    <x:row r="2">
      <x:c r="A2" s="97" t="str"/>
      <x:c r="B2" s="98" t="n">
        <x:v>0</x:v>
      </x:c>
      <x:c r="C2" s="98" t="n">
        <x:v>0</x:v>
      </x:c>
      <x:c r="D2" s="98" t="n">
        <x:v>0</x:v>
      </x:c>
      <x:c r="E2" s="98" t="n">
        <x:v>0</x:v>
      </x:c>
      <x:c r="F2" s="98" t="n">
        <x:v>0</x:v>
      </x:c>
      <x:c r="G2" s="98" t="n">
        <x:v>0</x:v>
      </x:c>
      <x:c r="H2" s="119" t="n">
        <x:f>IFERROR(G2/F2,0)</x:f>
        <x:v>0</x:v>
      </x:c>
      <x:c r="I2" s="125" t="n">
        <x:v>0</x:v>
      </x:c>
      <x:c r="J2" s="125" t="n">
        <x:f>IFERROR(I2/F2,0)</x:f>
        <x:v>0</x:v>
      </x:c>
      <x:c r="K2" s="98" t="str"/>
      <x:c r="L2" s="98" t="str"/>
      <x:c r="M2" s="99" t="str"/>
    </x:row>
    <x:row r="3">
      <x:c r="A3" s="100" t="str"/>
      <x:c r="B3" s="95" t="n">
        <x:v>0</x:v>
      </x:c>
      <x:c r="C3" s="95" t="n">
        <x:v>0</x:v>
      </x:c>
      <x:c r="D3" s="95" t="n">
        <x:v>0</x:v>
      </x:c>
      <x:c r="E3" s="95" t="n">
        <x:v>0</x:v>
      </x:c>
      <x:c r="F3" s="95" t="n">
        <x:v>0</x:v>
      </x:c>
      <x:c r="G3" s="95" t="n">
        <x:v>0</x:v>
      </x:c>
      <x:c r="H3" s="120" t="n">
        <x:f>IFERROR(G3/F3,0)</x:f>
        <x:v>0</x:v>
      </x:c>
      <x:c r="I3" s="126" t="n">
        <x:v>0</x:v>
      </x:c>
      <x:c r="J3" s="126" t="n">
        <x:f>IFERROR(I3/F3,0)</x:f>
        <x:v>0</x:v>
      </x:c>
      <x:c r="K3" s="95" t="str"/>
      <x:c r="L3" s="95" t="str"/>
      <x:c r="M3" s="101" t="str"/>
    </x:row>
    <x:row r="4">
      <x:c r="A4" s="100" t="str"/>
      <x:c r="B4" s="95" t="n">
        <x:v>0</x:v>
      </x:c>
      <x:c r="C4" s="95" t="n">
        <x:v>0</x:v>
      </x:c>
      <x:c r="D4" s="95" t="n">
        <x:v>0</x:v>
      </x:c>
      <x:c r="E4" s="95" t="n">
        <x:v>0</x:v>
      </x:c>
      <x:c r="F4" s="95" t="n">
        <x:v>0</x:v>
      </x:c>
      <x:c r="G4" s="95" t="n">
        <x:v>0</x:v>
      </x:c>
      <x:c r="H4" s="120" t="n">
        <x:f>IFERROR(G4/F4,0)</x:f>
        <x:v>0</x:v>
      </x:c>
      <x:c r="I4" s="126" t="n">
        <x:v>0</x:v>
      </x:c>
      <x:c r="J4" s="126" t="n">
        <x:f>IFERROR(I4/F4,0)</x:f>
        <x:v>0</x:v>
      </x:c>
      <x:c r="K4" s="95" t="str"/>
      <x:c r="L4" s="95" t="str"/>
      <x:c r="M4" s="101" t="str"/>
    </x:row>
    <x:row r="5">
      <x:c r="A5" s="100" t="str"/>
      <x:c r="B5" s="95" t="n">
        <x:v>0</x:v>
      </x:c>
      <x:c r="C5" s="95" t="n">
        <x:v>0</x:v>
      </x:c>
      <x:c r="D5" s="95" t="n">
        <x:v>0</x:v>
      </x:c>
      <x:c r="E5" s="95" t="n">
        <x:v>0</x:v>
      </x:c>
      <x:c r="F5" s="95" t="n">
        <x:v>0</x:v>
      </x:c>
      <x:c r="G5" s="95" t="n">
        <x:v>0</x:v>
      </x:c>
      <x:c r="H5" s="120" t="n">
        <x:f>IFERROR(G5/F5,0)</x:f>
        <x:v>0</x:v>
      </x:c>
      <x:c r="I5" s="126" t="n">
        <x:v>0</x:v>
      </x:c>
      <x:c r="J5" s="126" t="n">
        <x:f>IFERROR(I5/F5,0)</x:f>
        <x:v>0</x:v>
      </x:c>
      <x:c r="K5" s="95" t="str"/>
      <x:c r="L5" s="95" t="str"/>
      <x:c r="M5" s="101" t="str"/>
    </x:row>
    <x:row r="6">
      <x:c r="A6" s="100" t="str"/>
      <x:c r="B6" s="95" t="n">
        <x:v>0</x:v>
      </x:c>
      <x:c r="C6" s="95" t="n">
        <x:v>0</x:v>
      </x:c>
      <x:c r="D6" s="95" t="n">
        <x:v>0</x:v>
      </x:c>
      <x:c r="E6" s="95" t="n">
        <x:v>0</x:v>
      </x:c>
      <x:c r="F6" s="95" t="n">
        <x:v>0</x:v>
      </x:c>
      <x:c r="G6" s="95" t="n">
        <x:v>0</x:v>
      </x:c>
      <x:c r="H6" s="120" t="n">
        <x:f>IFERROR(G6/F6,0)</x:f>
        <x:v>0</x:v>
      </x:c>
      <x:c r="I6" s="126" t="n">
        <x:v>0</x:v>
      </x:c>
      <x:c r="J6" s="126" t="n">
        <x:f>IFERROR(I6/F6,0)</x:f>
        <x:v>0</x:v>
      </x:c>
      <x:c r="K6" s="95" t="str"/>
      <x:c r="L6" s="95" t="str"/>
      <x:c r="M6" s="101" t="str"/>
    </x:row>
    <x:row r="7">
      <x:c r="A7" s="100" t="str"/>
      <x:c r="B7" s="95" t="n">
        <x:v>0</x:v>
      </x:c>
      <x:c r="C7" s="95" t="n">
        <x:v>0</x:v>
      </x:c>
      <x:c r="D7" s="95" t="n">
        <x:v>0</x:v>
      </x:c>
      <x:c r="E7" s="95" t="n">
        <x:v>0</x:v>
      </x:c>
      <x:c r="F7" s="95" t="n">
        <x:v>0</x:v>
      </x:c>
      <x:c r="G7" s="95" t="n">
        <x:v>0</x:v>
      </x:c>
      <x:c r="H7" s="120" t="n">
        <x:f>IFERROR(G7/F7,0)</x:f>
        <x:v>0</x:v>
      </x:c>
      <x:c r="I7" s="126" t="n">
        <x:v>0</x:v>
      </x:c>
      <x:c r="J7" s="126" t="n">
        <x:f>IFERROR(I7/F7,0)</x:f>
        <x:v>0</x:v>
      </x:c>
      <x:c r="K7" s="95" t="str"/>
      <x:c r="L7" s="95" t="str"/>
      <x:c r="M7" s="101" t="str"/>
    </x:row>
    <x:row r="8">
      <x:c r="A8" s="100" t="str"/>
      <x:c r="B8" s="95" t="n">
        <x:v>0</x:v>
      </x:c>
      <x:c r="C8" s="95" t="n">
        <x:v>0</x:v>
      </x:c>
      <x:c r="D8" s="95" t="n">
        <x:v>0</x:v>
      </x:c>
      <x:c r="E8" s="95" t="n">
        <x:v>0</x:v>
      </x:c>
      <x:c r="F8" s="95" t="n">
        <x:v>0</x:v>
      </x:c>
      <x:c r="G8" s="95" t="n">
        <x:v>0</x:v>
      </x:c>
      <x:c r="H8" s="120" t="n">
        <x:f>IFERROR(G8/F8,0)</x:f>
        <x:v>0</x:v>
      </x:c>
      <x:c r="I8" s="126" t="n">
        <x:v>0</x:v>
      </x:c>
      <x:c r="J8" s="126" t="n">
        <x:f>IFERROR(I8/F8,0)</x:f>
        <x:v>0</x:v>
      </x:c>
      <x:c r="K8" s="95" t="str"/>
      <x:c r="L8" s="95" t="str"/>
      <x:c r="M8" s="101" t="str"/>
    </x:row>
    <x:row r="9">
      <x:c r="A9" s="100" t="str"/>
      <x:c r="B9" s="95" t="n">
        <x:v>0</x:v>
      </x:c>
      <x:c r="C9" s="95" t="n">
        <x:v>0</x:v>
      </x:c>
      <x:c r="D9" s="95" t="n">
        <x:v>0</x:v>
      </x:c>
      <x:c r="E9" s="95" t="n">
        <x:v>0</x:v>
      </x:c>
      <x:c r="F9" s="95" t="n">
        <x:v>0</x:v>
      </x:c>
      <x:c r="G9" s="95" t="n">
        <x:v>0</x:v>
      </x:c>
      <x:c r="H9" s="120" t="n">
        <x:f>IFERROR(G9/F9,0)</x:f>
        <x:v>0</x:v>
      </x:c>
      <x:c r="I9" s="126" t="n">
        <x:v>0</x:v>
      </x:c>
      <x:c r="J9" s="126" t="n">
        <x:f>IFERROR(I9/F9,0)</x:f>
        <x:v>0</x:v>
      </x:c>
      <x:c r="K9" s="95" t="str"/>
      <x:c r="L9" s="95" t="str"/>
      <x:c r="M9" s="101" t="str"/>
    </x:row>
    <x:row r="10">
      <x:c r="A10" s="100" t="str"/>
      <x:c r="B10" s="95" t="n">
        <x:v>0</x:v>
      </x:c>
      <x:c r="C10" s="95" t="n">
        <x:v>0</x:v>
      </x:c>
      <x:c r="D10" s="95" t="n">
        <x:v>0</x:v>
      </x:c>
      <x:c r="E10" s="95" t="n">
        <x:v>0</x:v>
      </x:c>
      <x:c r="F10" s="95" t="n">
        <x:v>0</x:v>
      </x:c>
      <x:c r="G10" s="95" t="n">
        <x:v>0</x:v>
      </x:c>
      <x:c r="H10" s="120" t="n">
        <x:f>IFERROR(G10/F10,0)</x:f>
        <x:v>0</x:v>
      </x:c>
      <x:c r="I10" s="126" t="n">
        <x:v>0</x:v>
      </x:c>
      <x:c r="J10" s="126" t="n">
        <x:f>IFERROR(I10/F10,0)</x:f>
        <x:v>0</x:v>
      </x:c>
      <x:c r="K10" s="95" t="str"/>
      <x:c r="L10" s="95" t="str"/>
      <x:c r="M10" s="101" t="str"/>
    </x:row>
    <x:row r="11">
      <x:c r="A11" s="100" t="str"/>
      <x:c r="B11" s="95" t="n">
        <x:v>0</x:v>
      </x:c>
      <x:c r="C11" s="95" t="n">
        <x:v>0</x:v>
      </x:c>
      <x:c r="D11" s="95" t="n">
        <x:v>0</x:v>
      </x:c>
      <x:c r="E11" s="95" t="n">
        <x:v>0</x:v>
      </x:c>
      <x:c r="F11" s="95" t="n">
        <x:v>0</x:v>
      </x:c>
      <x:c r="G11" s="95" t="n">
        <x:v>0</x:v>
      </x:c>
      <x:c r="H11" s="120" t="n">
        <x:f>IFERROR(G11/F11,0)</x:f>
        <x:v>0</x:v>
      </x:c>
      <x:c r="I11" s="126" t="n">
        <x:v>0</x:v>
      </x:c>
      <x:c r="J11" s="126" t="n">
        <x:f>IFERROR(I11/F11,0)</x:f>
        <x:v>0</x:v>
      </x:c>
      <x:c r="K11" s="95" t="str"/>
      <x:c r="L11" s="95" t="str"/>
      <x:c r="M11" s="101" t="str"/>
    </x:row>
    <x:row r="12">
      <x:c r="A12" s="100" t="str"/>
      <x:c r="B12" s="95" t="n">
        <x:v>0</x:v>
      </x:c>
      <x:c r="C12" s="95" t="n">
        <x:v>0</x:v>
      </x:c>
      <x:c r="D12" s="95" t="n">
        <x:v>0</x:v>
      </x:c>
      <x:c r="E12" s="95" t="n">
        <x:v>0</x:v>
      </x:c>
      <x:c r="F12" s="95" t="n">
        <x:v>0</x:v>
      </x:c>
      <x:c r="G12" s="95" t="n">
        <x:v>0</x:v>
      </x:c>
      <x:c r="H12" s="120" t="n">
        <x:f>IFERROR(G12/F12,0)</x:f>
        <x:v>0</x:v>
      </x:c>
      <x:c r="I12" s="126" t="n">
        <x:v>0</x:v>
      </x:c>
      <x:c r="J12" s="126" t="n">
        <x:f>IFERROR(I12/F12,0)</x:f>
        <x:v>0</x:v>
      </x:c>
      <x:c r="K12" s="95" t="str"/>
      <x:c r="L12" s="95" t="str"/>
      <x:c r="M12" s="101" t="str"/>
    </x:row>
    <x:row r="13">
      <x:c r="A13" s="100" t="str"/>
      <x:c r="B13" s="95" t="n">
        <x:v>0</x:v>
      </x:c>
      <x:c r="C13" s="95" t="n">
        <x:v>0</x:v>
      </x:c>
      <x:c r="D13" s="95" t="n">
        <x:v>0</x:v>
      </x:c>
      <x:c r="E13" s="95" t="n">
        <x:v>0</x:v>
      </x:c>
      <x:c r="F13" s="95" t="n">
        <x:v>0</x:v>
      </x:c>
      <x:c r="G13" s="95" t="n">
        <x:v>0</x:v>
      </x:c>
      <x:c r="H13" s="120" t="n">
        <x:f>IFERROR(G13/F13,0)</x:f>
        <x:v>0</x:v>
      </x:c>
      <x:c r="I13" s="126" t="n">
        <x:v>0</x:v>
      </x:c>
      <x:c r="J13" s="126" t="n">
        <x:f>IFERROR(I13/F13,0)</x:f>
        <x:v>0</x:v>
      </x:c>
      <x:c r="K13" s="95" t="str"/>
      <x:c r="L13" s="95" t="str"/>
      <x:c r="M13" s="101" t="str"/>
    </x:row>
    <x:row r="14">
      <x:c r="A14" s="100" t="str"/>
      <x:c r="B14" s="95" t="n">
        <x:v>0</x:v>
      </x:c>
      <x:c r="C14" s="95" t="n">
        <x:v>0</x:v>
      </x:c>
      <x:c r="D14" s="95" t="n">
        <x:v>0</x:v>
      </x:c>
      <x:c r="E14" s="95" t="n">
        <x:v>0</x:v>
      </x:c>
      <x:c r="F14" s="95" t="n">
        <x:v>0</x:v>
      </x:c>
      <x:c r="G14" s="95" t="n">
        <x:v>0</x:v>
      </x:c>
      <x:c r="H14" s="120" t="n">
        <x:f>IFERROR(G14/F14,0)</x:f>
        <x:v>0</x:v>
      </x:c>
      <x:c r="I14" s="126" t="n">
        <x:v>0</x:v>
      </x:c>
      <x:c r="J14" s="126" t="n">
        <x:f>IFERROR(I14/F14,0)</x:f>
        <x:v>0</x:v>
      </x:c>
      <x:c r="K14" s="95" t="str"/>
      <x:c r="L14" s="95" t="str"/>
      <x:c r="M14" s="101" t="str"/>
    </x:row>
    <x:row r="15">
      <x:c r="A15" s="100" t="str"/>
      <x:c r="B15" s="95" t="n">
        <x:v>0</x:v>
      </x:c>
      <x:c r="C15" s="95" t="n">
        <x:v>0</x:v>
      </x:c>
      <x:c r="D15" s="95" t="n">
        <x:v>0</x:v>
      </x:c>
      <x:c r="E15" s="95" t="n">
        <x:v>0</x:v>
      </x:c>
      <x:c r="F15" s="95" t="n">
        <x:v>0</x:v>
      </x:c>
      <x:c r="G15" s="95" t="n">
        <x:v>0</x:v>
      </x:c>
      <x:c r="H15" s="120" t="n">
        <x:f>IFERROR(G15/F15,0)</x:f>
        <x:v>0</x:v>
      </x:c>
      <x:c r="I15" s="126" t="n">
        <x:v>0</x:v>
      </x:c>
      <x:c r="J15" s="126" t="n">
        <x:f>IFERROR(I15/F15,0)</x:f>
        <x:v>0</x:v>
      </x:c>
      <x:c r="K15" s="95" t="str"/>
      <x:c r="L15" s="95" t="str"/>
      <x:c r="M15" s="101" t="str"/>
    </x:row>
    <x:row r="16">
      <x:c r="A16" s="100" t="str"/>
      <x:c r="B16" s="95" t="n">
        <x:v>0</x:v>
      </x:c>
      <x:c r="C16" s="95" t="n">
        <x:v>0</x:v>
      </x:c>
      <x:c r="D16" s="95" t="n">
        <x:v>0</x:v>
      </x:c>
      <x:c r="E16" s="95" t="n">
        <x:v>0</x:v>
      </x:c>
      <x:c r="F16" s="95" t="n">
        <x:v>0</x:v>
      </x:c>
      <x:c r="G16" s="95" t="n">
        <x:v>0</x:v>
      </x:c>
      <x:c r="H16" s="120" t="n">
        <x:f>IFERROR(G16/F16,0)</x:f>
        <x:v>0</x:v>
      </x:c>
      <x:c r="I16" s="126" t="n">
        <x:v>0</x:v>
      </x:c>
      <x:c r="J16" s="126" t="n">
        <x:f>IFERROR(I16/F16,0)</x:f>
        <x:v>0</x:v>
      </x:c>
      <x:c r="K16" s="95" t="str"/>
      <x:c r="L16" s="95" t="str"/>
      <x:c r="M16" s="101" t="str"/>
    </x:row>
    <x:row r="17">
      <x:c r="A17" s="100" t="str"/>
      <x:c r="B17" s="95" t="n">
        <x:v>0</x:v>
      </x:c>
      <x:c r="C17" s="95" t="n">
        <x:v>0</x:v>
      </x:c>
      <x:c r="D17" s="95" t="n">
        <x:v>0</x:v>
      </x:c>
      <x:c r="E17" s="95" t="n">
        <x:v>0</x:v>
      </x:c>
      <x:c r="F17" s="95" t="n">
        <x:v>0</x:v>
      </x:c>
      <x:c r="G17" s="95" t="n">
        <x:v>0</x:v>
      </x:c>
      <x:c r="H17" s="120" t="n">
        <x:f>IFERROR(G17/F17,0)</x:f>
        <x:v>0</x:v>
      </x:c>
      <x:c r="I17" s="126" t="n">
        <x:v>0</x:v>
      </x:c>
      <x:c r="J17" s="126" t="n">
        <x:f>IFERROR(I17/F17,0)</x:f>
        <x:v>0</x:v>
      </x:c>
      <x:c r="K17" s="95" t="str"/>
      <x:c r="L17" s="95" t="str"/>
      <x:c r="M17" s="101" t="str"/>
    </x:row>
    <x:row r="18">
      <x:c r="A18" s="100" t="str"/>
      <x:c r="B18" s="95" t="n">
        <x:v>0</x:v>
      </x:c>
      <x:c r="C18" s="95" t="n">
        <x:v>0</x:v>
      </x:c>
      <x:c r="D18" s="95" t="n">
        <x:v>0</x:v>
      </x:c>
      <x:c r="E18" s="95" t="n">
        <x:v>0</x:v>
      </x:c>
      <x:c r="F18" s="95" t="n">
        <x:v>0</x:v>
      </x:c>
      <x:c r="G18" s="95" t="n">
        <x:v>0</x:v>
      </x:c>
      <x:c r="H18" s="120" t="n">
        <x:f>IFERROR(G18/F18,0)</x:f>
        <x:v>0</x:v>
      </x:c>
      <x:c r="I18" s="126" t="n">
        <x:v>0</x:v>
      </x:c>
      <x:c r="J18" s="126" t="n">
        <x:f>IFERROR(I18/F18,0)</x:f>
        <x:v>0</x:v>
      </x:c>
      <x:c r="K18" s="95" t="str"/>
      <x:c r="L18" s="95" t="str"/>
      <x:c r="M18" s="101" t="str"/>
    </x:row>
    <x:row r="19">
      <x:c r="A19" s="100" t="str"/>
      <x:c r="B19" s="95" t="n">
        <x:v>0</x:v>
      </x:c>
      <x:c r="C19" s="95" t="n">
        <x:v>0</x:v>
      </x:c>
      <x:c r="D19" s="95" t="n">
        <x:v>0</x:v>
      </x:c>
      <x:c r="E19" s="95" t="n">
        <x:v>0</x:v>
      </x:c>
      <x:c r="F19" s="95" t="n">
        <x:v>0</x:v>
      </x:c>
      <x:c r="G19" s="95" t="n">
        <x:v>0</x:v>
      </x:c>
      <x:c r="H19" s="120" t="n">
        <x:f>IFERROR(G19/F19,0)</x:f>
        <x:v>0</x:v>
      </x:c>
      <x:c r="I19" s="126" t="n">
        <x:v>0</x:v>
      </x:c>
      <x:c r="J19" s="126" t="n">
        <x:f>IFERROR(I19/F19,0)</x:f>
        <x:v>0</x:v>
      </x:c>
      <x:c r="K19" s="95" t="str"/>
      <x:c r="L19" s="95" t="str"/>
      <x:c r="M19" s="101" t="str"/>
    </x:row>
    <x:row r="20">
      <x:c r="A20" s="100" t="str"/>
      <x:c r="B20" s="95" t="n">
        <x:v>0</x:v>
      </x:c>
      <x:c r="C20" s="95" t="n">
        <x:v>0</x:v>
      </x:c>
      <x:c r="D20" s="95" t="n">
        <x:v>0</x:v>
      </x:c>
      <x:c r="E20" s="95" t="n">
        <x:v>0</x:v>
      </x:c>
      <x:c r="F20" s="95" t="n">
        <x:v>0</x:v>
      </x:c>
      <x:c r="G20" s="95" t="n">
        <x:v>0</x:v>
      </x:c>
      <x:c r="H20" s="120" t="n">
        <x:f>IFERROR(G20/F20,0)</x:f>
        <x:v>0</x:v>
      </x:c>
      <x:c r="I20" s="126" t="n">
        <x:v>0</x:v>
      </x:c>
      <x:c r="J20" s="126" t="n">
        <x:f>IFERROR(I20/F20,0)</x:f>
        <x:v>0</x:v>
      </x:c>
      <x:c r="K20" s="95" t="str"/>
      <x:c r="L20" s="95" t="str"/>
      <x:c r="M20" s="101" t="str"/>
    </x:row>
    <x:row r="21">
      <x:c r="A21" s="100" t="str"/>
      <x:c r="B21" s="95" t="n">
        <x:v>0</x:v>
      </x:c>
      <x:c r="C21" s="95" t="n">
        <x:v>0</x:v>
      </x:c>
      <x:c r="D21" s="95" t="n">
        <x:v>0</x:v>
      </x:c>
      <x:c r="E21" s="95" t="n">
        <x:v>0</x:v>
      </x:c>
      <x:c r="F21" s="95" t="n">
        <x:v>0</x:v>
      </x:c>
      <x:c r="G21" s="95" t="n">
        <x:v>0</x:v>
      </x:c>
      <x:c r="H21" s="120" t="n">
        <x:f>IFERROR(G21/F21,0)</x:f>
        <x:v>0</x:v>
      </x:c>
      <x:c r="I21" s="126" t="n">
        <x:v>0</x:v>
      </x:c>
      <x:c r="J21" s="126" t="n">
        <x:f>IFERROR(I21/F21,0)</x:f>
        <x:v>0</x:v>
      </x:c>
      <x:c r="K21" s="95" t="str"/>
      <x:c r="L21" s="95" t="str"/>
      <x:c r="M21" s="101" t="str"/>
    </x:row>
    <x:row r="22">
      <x:c r="A22" s="100" t="str"/>
      <x:c r="B22" s="95" t="n">
        <x:v>0</x:v>
      </x:c>
      <x:c r="C22" s="95" t="n">
        <x:v>0</x:v>
      </x:c>
      <x:c r="D22" s="95" t="n">
        <x:v>0</x:v>
      </x:c>
      <x:c r="E22" s="95" t="n">
        <x:v>0</x:v>
      </x:c>
      <x:c r="F22" s="95" t="n">
        <x:v>0</x:v>
      </x:c>
      <x:c r="G22" s="95" t="n">
        <x:v>0</x:v>
      </x:c>
      <x:c r="H22" s="120" t="n">
        <x:f>IFERROR(G22/F22,0)</x:f>
        <x:v>0</x:v>
      </x:c>
      <x:c r="I22" s="126" t="n">
        <x:v>0</x:v>
      </x:c>
      <x:c r="J22" s="126" t="n">
        <x:f>IFERROR(I22/F22,0)</x:f>
        <x:v>0</x:v>
      </x:c>
      <x:c r="K22" s="95" t="str"/>
      <x:c r="L22" s="95" t="str"/>
      <x:c r="M22" s="101" t="str"/>
    </x:row>
    <x:row r="23">
      <x:c r="A23" s="100" t="str"/>
      <x:c r="B23" s="95" t="n">
        <x:v>0</x:v>
      </x:c>
      <x:c r="C23" s="95" t="n">
        <x:v>0</x:v>
      </x:c>
      <x:c r="D23" s="95" t="n">
        <x:v>0</x:v>
      </x:c>
      <x:c r="E23" s="95" t="n">
        <x:v>0</x:v>
      </x:c>
      <x:c r="F23" s="95" t="n">
        <x:v>0</x:v>
      </x:c>
      <x:c r="G23" s="95" t="n">
        <x:v>0</x:v>
      </x:c>
      <x:c r="H23" s="120" t="n">
        <x:f>IFERROR(G23/F23,0)</x:f>
        <x:v>0</x:v>
      </x:c>
      <x:c r="I23" s="126" t="n">
        <x:v>0</x:v>
      </x:c>
      <x:c r="J23" s="126" t="n">
        <x:f>IFERROR(I23/F23,0)</x:f>
        <x:v>0</x:v>
      </x:c>
      <x:c r="K23" s="95" t="str"/>
      <x:c r="L23" s="95" t="str"/>
      <x:c r="M23" s="101" t="str"/>
    </x:row>
    <x:row r="24">
      <x:c r="A24" s="100" t="str"/>
      <x:c r="B24" s="95" t="n">
        <x:v>0</x:v>
      </x:c>
      <x:c r="C24" s="95" t="n">
        <x:v>0</x:v>
      </x:c>
      <x:c r="D24" s="95" t="n">
        <x:v>0</x:v>
      </x:c>
      <x:c r="E24" s="95" t="n">
        <x:v>0</x:v>
      </x:c>
      <x:c r="F24" s="95" t="n">
        <x:v>0</x:v>
      </x:c>
      <x:c r="G24" s="95" t="n">
        <x:v>0</x:v>
      </x:c>
      <x:c r="H24" s="120" t="n">
        <x:f>IFERROR(G24/F24,0)</x:f>
        <x:v>0</x:v>
      </x:c>
      <x:c r="I24" s="126" t="n">
        <x:v>0</x:v>
      </x:c>
      <x:c r="J24" s="126" t="n">
        <x:f>IFERROR(I24/F24,0)</x:f>
        <x:v>0</x:v>
      </x:c>
      <x:c r="K24" s="95" t="str"/>
      <x:c r="L24" s="95" t="str"/>
      <x:c r="M24" s="101" t="str"/>
    </x:row>
    <x:row r="25">
      <x:c r="A25" s="102" t="str"/>
      <x:c r="B25" s="103" t="n">
        <x:v>0</x:v>
      </x:c>
      <x:c r="C25" s="103" t="n">
        <x:v>0</x:v>
      </x:c>
      <x:c r="D25" s="103" t="n">
        <x:v>0</x:v>
      </x:c>
      <x:c r="E25" s="103" t="n">
        <x:v>0</x:v>
      </x:c>
      <x:c r="F25" s="103" t="n">
        <x:v>0</x:v>
      </x:c>
      <x:c r="G25" s="103" t="n">
        <x:v>0</x:v>
      </x:c>
      <x:c r="H25" s="121" t="n">
        <x:f>IFERROR(G25/F25,0)</x:f>
        <x:v>0</x:v>
      </x:c>
      <x:c r="I25" s="127" t="n">
        <x:v>0</x:v>
      </x:c>
      <x:c r="J25" s="127" t="n">
        <x:f>IFERROR(I25/F25,0)</x:f>
        <x:v>0</x:v>
      </x:c>
      <x:c r="K25" s="103" t="str"/>
      <x:c r="L25" s="103" t="str"/>
      <x:c r="M25" s="104" t="str"/>
    </x:row>
  </x:sheetData>
  <x:pageMargins left="0.7" right="0.7" top="0.75" bottom="0.75" header="0.3" footer="0.3"/>
  <x:tableParts count="1">
    <x:tablePart xmlns:r="http://schemas.openxmlformats.org/officeDocument/2006/relationships" r:id="R45fa21f935e64430"/>
  </x:tableParts>
</x:worksheet>
</file>

<file path=xl/worksheets/sheet19.xml><?xml version="1.0" encoding="utf-8"?>
<x:worksheet xmlns:x="http://schemas.openxmlformats.org/spreadsheetml/2006/main">
  <x:sheetFormatPr defaultRowHeight="15"/>
  <x:cols>
    <x:col min="1" max="1" width="40" hidden="0" customWidth="1"/>
    <x:col min="2" max="2" width="25" hidden="0" customWidth="1"/>
    <x:col min="3" max="3" width="65" hidden="0" customWidth="1"/>
    <x:col min="4" max="4" width="75" hidden="0" customWidth="1"/>
    <x:col min="5" max="5" width="45" hidden="0" customWidth="1"/>
  </x:cols>
  <x:sheetData>
    <x:row r="1" ht="36" customHeight="1">
      <x:c r="A1" s="81" t="str">
        <x:v>Source</x:v>
      </x:c>
      <x:c r="B1" s="81" t="str">
        <x:v>Publisher</x:v>
      </x:c>
      <x:c r="C1" s="81" t="str">
        <x:v>Use in Workbook</x:v>
      </x:c>
      <x:c r="D1" s="81" t="str">
        <x:v>URL</x:v>
      </x:c>
      <x:c r="E1" s="81" t="str">
        <x:v>Access / Review Note</x:v>
      </x:c>
    </x:row>
    <x:row r="2">
      <x:c r="A2" s="97" t="str">
        <x:v>Associates Program Operating Agreement</x:v>
      </x:c>
      <x:c r="B2" s="98" t="str">
        <x:v>Amazon Associates</x:v>
      </x:c>
      <x:c r="C2" s="98" t="str">
        <x:v>Required Associate identification statement and program relationship rules</x:v>
      </x:c>
      <x:c r="D2" s="98" t="str">
        <x:v>https://affiliate-program.amazon.com/help/operating/agreement</x:v>
      </x:c>
      <x:c r="E2" s="99" t="str">
        <x:v>Review before applying and whenever Amazon announces changes</x:v>
      </x:c>
    </x:row>
    <x:row r="3">
      <x:c r="A3" s="100" t="str">
        <x:v>2026 Operating Agreement updates</x:v>
      </x:c>
      <x:c r="B3" s="95" t="str">
        <x:v>Amazon Associates</x:v>
      </x:c>
      <x:c r="C3" s="95" t="str">
        <x:v>Original-content definition and paid/boosted advertising changes effective April 14, 2026</x:v>
      </x:c>
      <x:c r="D3" s="95" t="str">
        <x:v>https://affiliate-program.amazon.com/help/operating/compare</x:v>
      </x:c>
      <x:c r="E3" s="101" t="str">
        <x:v>Time-sensitive; recheck current version</x:v>
      </x:c>
    </x:row>
    <x:row r="4">
      <x:c r="A4" s="100" t="str">
        <x:v>Account Dormancy / application evaluation</x:v>
      </x:c>
      <x:c r="B4" s="95" t="str">
        <x:v>Amazon Associates</x:v>
      </x:c>
      <x:c r="C4" s="95" t="str">
        <x:v>Three qualifying sales within 180 days after application</x:v>
      </x:c>
      <x:c r="D4" s="95" t="str">
        <x:v>https://affiliate-program.amazon.com/help/node/topic/G7MJTPEP9NC3YKMG</x:v>
      </x:c>
      <x:c r="E4" s="101" t="str">
        <x:v>Official help page</x:v>
      </x:c>
    </x:row>
    <x:row r="5">
      <x:c r="A5" s="100" t="str">
        <x:v>Associates Program Policies</x:v>
      </x:c>
      <x:c r="B5" s="95" t="str">
        <x:v>Amazon Associates</x:v>
      </x:c>
      <x:c r="C5" s="95" t="str">
        <x:v>Eligibility, privacy, Special Links, Program Content and prohibited practices</x:v>
      </x:c>
      <x:c r="D5" s="95" t="str">
        <x:v>https://affiliate-program.amazon.com/help/operating/policies</x:v>
      </x:c>
      <x:c r="E5" s="101" t="str">
        <x:v>Current policy is controlling</x:v>
      </x:c>
    </x:row>
    <x:row r="6">
      <x:c r="A6" s="100" t="str">
        <x:v>Linking and Participation Requirements</x:v>
      </x:c>
      <x:c r="B6" s="95" t="str">
        <x:v>Amazon Associates</x:v>
      </x:c>
      <x:c r="C6" s="95" t="str">
        <x:v>No self/friend purchases; restrictions on reviews/ratings and link use</x:v>
      </x:c>
      <x:c r="D6" s="95" t="str">
        <x:v>https://affiliate-program.amazon.com/help/operating/linking</x:v>
      </x:c>
      <x:c r="E6" s="101" t="str">
        <x:v>Current policy is controlling</x:v>
      </x:c>
    </x:row>
    <x:row r="7">
      <x:c r="A7" s="100" t="str">
        <x:v>Reviews System</x:v>
      </x:c>
      <x:c r="B7" s="95" t="str">
        <x:v>Google Search Central</x:v>
      </x:c>
      <x:c r="C7" s="95" t="str">
        <x:v>High-quality review content requires insightful analysis, original research and expertise</x:v>
      </x:c>
      <x:c r="D7" s="95" t="str">
        <x:v>https://developers.google.com/search/docs/appearance/reviews-system</x:v>
      </x:c>
      <x:c r="E7" s="101" t="str">
        <x:v>Official Google guidance</x:v>
      </x:c>
    </x:row>
    <x:row r="8">
      <x:c r="A8" s="100" t="str">
        <x:v>Helpful, reliable, people-first content</x:v>
      </x:c>
      <x:c r="B8" s="95" t="str">
        <x:v>Google Search Central</x:v>
      </x:c>
      <x:c r="C8" s="95" t="str">
        <x:v>Content quality and people-first approach</x:v>
      </x:c>
      <x:c r="D8" s="95" t="str">
        <x:v>https://developers.google.com/search/docs/fundamentals/creating-helpful-content</x:v>
      </x:c>
      <x:c r="E8" s="101" t="str">
        <x:v>Official Google guidance</x:v>
      </x:c>
    </x:row>
    <x:row r="9">
      <x:c r="A9" s="100" t="str">
        <x:v>Product snippet structured data</x:v>
      </x:c>
      <x:c r="B9" s="95" t="str">
        <x:v>Google Search Central</x:v>
      </x:c>
      <x:c r="C9" s="95" t="str">
        <x:v>Product/review schema requirements and pros/cons markup</x:v>
      </x:c>
      <x:c r="D9" s="95" t="str">
        <x:v>https://developers.google.com/search/docs/appearance/structured-data/product-snippet</x:v>
      </x:c>
      <x:c r="E9" s="101" t="str">
        <x:v>Use only when page qualifies</x:v>
      </x:c>
    </x:row>
    <x:row r="10">
      <x:c r="A10" s="100" t="str">
        <x:v>AI features and your website</x:v>
      </x:c>
      <x:c r="B10" s="95" t="str">
        <x:v>Google Search Central</x:v>
      </x:c>
      <x:c r="C10" s="95" t="str">
        <x:v>Standard SEO best practices remain foundational for AI features</x:v>
      </x:c>
      <x:c r="D10" s="95" t="str">
        <x:v>https://developers.google.com/search/docs/appearance/ai-features</x:v>
      </x:c>
      <x:c r="E10" s="101" t="str">
        <x:v>Official Google guidance</x:v>
      </x:c>
    </x:row>
    <x:row r="11">
      <x:c r="A11" s="100" t="str">
        <x:v>Generative AI optimization guide</x:v>
      </x:c>
      <x:c r="B11" s="95" t="str">
        <x:v>Google Search Central</x:v>
      </x:c>
      <x:c r="C11" s="95" t="str">
        <x:v>Current guidance for AI Overviews/AI Mode visibility</x:v>
      </x:c>
      <x:c r="D11" s="95" t="str">
        <x:v>https://developers.google.com/search/docs/fundamentals/ai-optimization-guide</x:v>
      </x:c>
      <x:c r="E11" s="101" t="str">
        <x:v>Official Google guidance; time-sensitive</x:v>
      </x:c>
    </x:row>
    <x:row r="12">
      <x:c r="A12" s="100" t="str">
        <x:v>Next.js sitemap file convention</x:v>
      </x:c>
      <x:c r="B12" s="95" t="str">
        <x:v>Next.js</x:v>
      </x:c>
      <x:c r="C12" s="95" t="str">
        <x:v>Programmatic sitemap implementation</x:v>
      </x:c>
      <x:c r="D12" s="95" t="str">
        <x:v>https://nextjs.org/docs/app/api-reference/file-conventions/metadata/sitemap</x:v>
      </x:c>
      <x:c r="E12" s="101" t="str">
        <x:v>Use current stable docs</x:v>
      </x:c>
    </x:row>
    <x:row r="13">
      <x:c r="A13" s="100" t="str">
        <x:v>Next.js robots file convention</x:v>
      </x:c>
      <x:c r="B13" s="95" t="str">
        <x:v>Next.js</x:v>
      </x:c>
      <x:c r="C13" s="95" t="str">
        <x:v>Programmatic robots.txt implementation</x:v>
      </x:c>
      <x:c r="D13" s="95" t="str">
        <x:v>https://nextjs.org/docs/app/api-reference/file-conventions/metadata/robots</x:v>
      </x:c>
      <x:c r="E13" s="101" t="str">
        <x:v>Use current stable docs</x:v>
      </x:c>
    </x:row>
    <x:row r="14">
      <x:c r="A14" s="100" t="str">
        <x:v>Next.js JSON-LD guide</x:v>
      </x:c>
      <x:c r="B14" s="95" t="str">
        <x:v>Next.js</x:v>
      </x:c>
      <x:c r="C14" s="95" t="str">
        <x:v>Safe JSON-LD implementation in App Router</x:v>
      </x:c>
      <x:c r="D14" s="95" t="str">
        <x:v>https://nextjs.org/docs/app/guides/json-ld</x:v>
      </x:c>
      <x:c r="E14" s="101" t="str">
        <x:v>Use current stable docs</x:v>
      </x:c>
    </x:row>
    <x:row r="15">
      <x:c r="A15" s="100" t="str">
        <x:v>Next.js production checklist</x:v>
      </x:c>
      <x:c r="B15" s="95" t="str">
        <x:v>Next.js</x:v>
      </x:c>
      <x:c r="C15" s="95" t="str">
        <x:v>Performance, security and production readiness</x:v>
      </x:c>
      <x:c r="D15" s="95" t="str">
        <x:v>https://nextjs.org/docs/app/guides/production-checklist</x:v>
      </x:c>
      <x:c r="E15" s="101" t="str">
        <x:v>Use current stable docs</x:v>
      </x:c>
    </x:row>
    <x:row r="16">
      <x:c r="A16" s="100" t="str">
        <x:v>Next.js on Vercel</x:v>
      </x:c>
      <x:c r="B16" s="95" t="str">
        <x:v>Vercel</x:v>
      </x:c>
      <x:c r="C16" s="95" t="str">
        <x:v>Deployment, analytics and performance integration</x:v>
      </x:c>
      <x:c r="D16" s="95" t="str">
        <x:v>https://vercel.com/docs/frameworks/full-stack/nextjs</x:v>
      </x:c>
      <x:c r="E16" s="101" t="str">
        <x:v>Official Vercel documentation</x:v>
      </x:c>
    </x:row>
    <x:row r="17">
      <x:c r="A17" s="102" t="str">
        <x:v>llms.txt proposal</x:v>
      </x:c>
      <x:c r="B17" s="103" t="str">
        <x:v>llmstxt.org</x:v>
      </x:c>
      <x:c r="C17" s="103" t="str">
        <x:v>Optional experimental curated Markdown map</x:v>
      </x:c>
      <x:c r="D17" s="103" t="str">
        <x:v>https://llmstxt.org/</x:v>
      </x:c>
      <x:c r="E17" s="104" t="str">
        <x:v>Not an official Google ranking standard; treat as optional</x:v>
      </x:c>
    </x:row>
  </x:sheetData>
  <x:pageMargins left="0.7" right="0.7" top="0.75" bottom="0.75" header="0.3" footer="0.3"/>
  <x:tableParts count="1">
    <x:tablePart xmlns:r="http://schemas.openxmlformats.org/officeDocument/2006/relationships" r:id="R8bd5f0f19729465f"/>
  </x:tableParts>
</x:worksheet>
</file>